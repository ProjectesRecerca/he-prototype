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U107172\Desktop\Scripts\AplicacionsWeb\HEFundingSearch\v2.0\"/>
    </mc:Choice>
  </mc:AlternateContent>
  <xr:revisionPtr revIDLastSave="0" documentId="13_ncr:1_{2599B190-42C8-4B94-8548-79E779BE6371}" xr6:coauthVersionLast="47" xr6:coauthVersionMax="47" xr10:uidLastSave="{00000000-0000-0000-0000-000000000000}"/>
  <bookViews>
    <workbookView xWindow="-108" yWindow="-108" windowWidth="23256" windowHeight="12456" xr2:uid="{E77A4C11-5916-4FBB-AC0E-9918928F7C9A}"/>
  </bookViews>
  <sheets>
    <sheet name="Sheet1" sheetId="3"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1" i="3" l="1"/>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9" i="3"/>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8" i="3"/>
  <c r="Q7" i="3"/>
</calcChain>
</file>

<file path=xl/sharedStrings.xml><?xml version="1.0" encoding="utf-8"?>
<sst xmlns="http://schemas.openxmlformats.org/spreadsheetml/2006/main" count="5818" uniqueCount="2916">
  <si>
    <t>Call ID</t>
  </si>
  <si>
    <t>Call Title</t>
  </si>
  <si>
    <t>Summary</t>
  </si>
  <si>
    <t>Type of Action</t>
  </si>
  <si>
    <t>Single Stage or Two Stage</t>
  </si>
  <si>
    <t>Opening date</t>
  </si>
  <si>
    <t>Deadline(s)</t>
  </si>
  <si>
    <t>HORIZON-HLTH-2026-01-STAYHLTH-02</t>
  </si>
  <si>
    <t>Behavioural interventions as primary prevention for Non-Communicable Diseases (NCDs) among young people</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</si>
  <si>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</si>
  <si>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</si>
  <si>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</si>
  <si>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</si>
  <si>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HORIZON-HLTH-2026-01-STAYHLTH-03</t>
  </si>
  <si>
    <t>Building public trust and outreach in the life sciences</t>
  </si>
  <si>
    <t>SH3 The Social World and Its Interactions</t>
  </si>
  <si>
    <t>CSA</t>
  </si>
  <si>
    <t>HORIZON-HLTH-2026-01-ENVHLTH-01</t>
  </si>
  <si>
    <t>Towards a better understanding and anticipation of the impacts of climate change on health</t>
  </si>
  <si>
    <t>LS7 Prevention, Diagnosis and Treatment of Human Diseases; PE10 Earth System Science</t>
  </si>
  <si>
    <t>HORIZON-HLTH-2026-01-DISEASE-04</t>
  </si>
  <si>
    <t>Development of novel vaccines for viral pathogens with epidemic potential</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</si>
  <si>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</si>
  <si>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</si>
  <si>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</si>
  <si>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</si>
  <si>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COFUND</t>
  </si>
  <si>
    <t>HORIZON-HLTH-2026-01-CARE-01</t>
  </si>
  <si>
    <t>LS7 Prevention, Diagnosis and Treatment of Human Diseases; SH1 Individuals, Markets and Organisations</t>
  </si>
  <si>
    <t>PPI</t>
  </si>
  <si>
    <t>HORIZON-HLTH-2026-01-TOOL-03</t>
  </si>
  <si>
    <t>LS9 Biotechnology and Biosystems Engineering; LS7 Prevention, Diagnosis and Treatment of Human Diseases</t>
  </si>
  <si>
    <t>HORIZON-HLTH-2027-02-DISEASE-01-two-stage</t>
  </si>
  <si>
    <t>Innovative healthcare interventions for non-communicable diseases</t>
  </si>
  <si>
    <t>LS4 Physiology in Health, Disease and Ageing; LS7 Prevention, Diagnosis and Treatment of Human Diseases</t>
  </si>
  <si>
    <t>Two stage</t>
  </si>
  <si>
    <t>Stage 1: 13/04/2027; Stage 2: 22/09/2027</t>
  </si>
  <si>
    <t>HORIZON-HLTH-2027-01-CARE-02</t>
  </si>
  <si>
    <t>LS7 Prevention, Diagnosis and Treatment of Human Diseases; LS2 Integrative Biology</t>
  </si>
  <si>
    <t>HORIZON-HLTH-2027-02-TOOL-01-two-stage</t>
  </si>
  <si>
    <t>LS2 Integrative Biology; PE6 Computer Science and Informatics</t>
  </si>
  <si>
    <t>HORIZON-HLTH-2027-03-TOOL-04</t>
  </si>
  <si>
    <t>LS7 Prevention, Diagnosis and Treatment of Human Diseases; PE7 Systems and Communication Engineering</t>
  </si>
  <si>
    <t>HORIZON-HLTH-2027-03-TOOL-08</t>
  </si>
  <si>
    <t>Towards Artificial General Intelligence (AGI) for healthcare</t>
  </si>
  <si>
    <t>PE6 Computer Science and Informatics; LS7 Prevention, Diagnosis and Treatment of Human Diseases</t>
  </si>
  <si>
    <t>HORIZON-HLTH-2027-01-IND-01</t>
  </si>
  <si>
    <t>HORIZON-HLTH-2027-02-IND-02-two-stage</t>
  </si>
  <si>
    <t>Portable and versatile Point-of-care diagnostics</t>
  </si>
  <si>
    <t>LS7 Prevention, Diagnosis and Treatment of Human Diseases; PE8 Products and Processes Engineering</t>
  </si>
  <si>
    <t>IA</t>
  </si>
  <si>
    <t>HORIZON-HLTH-2027-01-STAYHLTH-01</t>
  </si>
  <si>
    <t>Addressing disabilities through the life course to support independent living and inclusion</t>
  </si>
  <si>
    <t>HORIZON-HLTH-2026-01-ENVHLTH-04</t>
  </si>
  <si>
    <t>Towards climate resilient, prepared and carbon neutral populations and healthcare systems</t>
  </si>
  <si>
    <t>HORIZON-HLTH-2026-01-ENVHLTH-05</t>
  </si>
  <si>
    <t>Support for a multilateral initiative on climate change and health research</t>
  </si>
  <si>
    <t>HORIZON-HLTH-2027-01-ENVHLTH-02</t>
  </si>
  <si>
    <t>Integrating climate-related exposures into the human exposome and characterising its changes in response to climate change</t>
  </si>
  <si>
    <t>HORIZON-HLTH-2027-01-ENVHLTH-MISSCLIMA-03</t>
  </si>
  <si>
    <t>Tools and technologies to support health adaptation to climate change</t>
  </si>
  <si>
    <t>PCP</t>
  </si>
  <si>
    <t>HORIZON-HLTH-2026-01-DISEASE-02</t>
  </si>
  <si>
    <t>Innovative interventions to prevent the harmful effects of using digital technologies on the mental health of children and young adults</t>
  </si>
  <si>
    <t>HORIZON-HLTH-2026-01-DISEASE-03</t>
  </si>
  <si>
    <t>Advancing research on the prevention, diagnosis, and management of post-infection long-term conditions</t>
  </si>
  <si>
    <t>HORIZON-HLTH-2026-01-DISEASE-09</t>
  </si>
  <si>
    <t>HORIZON-HLTH-2026-01-DISEASE-11</t>
  </si>
  <si>
    <t>HORIZON-HLTH-2026-01-DISEASE-15</t>
  </si>
  <si>
    <t>Scaling up innovation in cardiovascular health</t>
  </si>
  <si>
    <t>HORIZON-HLTH-2026-03-DISEASE-13</t>
  </si>
  <si>
    <t>European Partnership for Pandemic Preparedness (Phase 2)</t>
  </si>
  <si>
    <t>HORIZON-HLTH-2026-01-CARE-03</t>
  </si>
  <si>
    <t>HORIZON-HLTH-2026-04-CARE-04</t>
  </si>
  <si>
    <t>HORIZON-HLTH-2026-01-TOOL-05</t>
  </si>
  <si>
    <t>HORIZON-HLTH-2026-01-TOOL-06</t>
  </si>
  <si>
    <t>HORIZON-HLTH-2026-01-TOOL-07</t>
  </si>
  <si>
    <t>HORIZON-HLTH-2026-01-IND-03</t>
  </si>
  <si>
    <t>HORIZON-HLTH-2027-01-DISEASE-05</t>
  </si>
  <si>
    <t>HORIZON-HLTH-2027-01-DISEASE-06</t>
  </si>
  <si>
    <t>HORIZON-HLTH-2027-01-DISEASE-07</t>
  </si>
  <si>
    <t>HORIZON-HLTH-2027-01-DISEASE-08</t>
  </si>
  <si>
    <t>HORIZON-HLTH-2027-01-DISEASE-10</t>
  </si>
  <si>
    <t>HORIZON-HLTH-2027-02-DISEASE-14-two-stage</t>
  </si>
  <si>
    <t>Clinical trials for advancing innovative interventions for neurodegenerative diseases</t>
  </si>
  <si>
    <t>HORIZON-HLTH-2027-03-TOOL-02</t>
  </si>
  <si>
    <t>Public health and epidemiology; Digital medicine; Clinical and health psychology; Neural basis of behaviour; Software engineering</t>
  </si>
  <si>
    <t>This action focuses on improving how scientists communicate with the public to build trust in new life science technologies. It involves training researchers in risk communication and creating community events to align scientific work with societal values.</t>
  </si>
  <si>
    <t>Disabilities; Independent living; Inclusion; Habilitation; Rehabilitation; Social structure, social mobility, social innovation; Public health and epidemiology</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</si>
  <si>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</si>
  <si>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</si>
  <si>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initiative investigates how changing climate patterns directly influence the occurrence of chronic and infectious diseases. Researchers will develop tools to predict health risks and create strategies to protect vulnerable populations.</t>
  </si>
  <si>
    <t>Climatology and climate change; Environmental engineering; Sustainability sciences, environment and resources, ecosystem services; Health care; Public health and epidemiology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</si>
  <si>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</si>
  <si>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</si>
  <si>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</si>
  <si>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</si>
  <si>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</si>
  <si>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Climatology and climate change; Environmental health; Public health and epidemiology; Bioinformatics and computational biology; Machine learning; Artificial intelligence</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</si>
  <si>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</si>
  <si>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</si>
  <si>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Public health and epidemiology; Medical technologies and tools; Digital medicine; Climatology and climate change; GIS, spatial analysis</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</si>
  <si>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</si>
  <si>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Mental disorders; Digital medicine; Neural basis of behaviour; Neural basis of cognition; Clinical and health psychology; Child development</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</si>
  <si>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</si>
  <si>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</si>
  <si>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Infectious diseases; Pathophysiology; Biomarkers; Clinical trials; Rehabilitation; Precision medicine; Immunity</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</si>
  <si>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</si>
  <si>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</si>
  <si>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Vaccine development; Infectious diseases; Pathogens; Structural biology; Drug design; Innate immunity; Adaptive immunity</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</si>
  <si>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</si>
  <si>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Multisectoral approach to tackle chronic non-communicable diseases (GACD)</t>
  </si>
  <si>
    <t>Non-communicable diseases; Public health and epidemiology; Implementation science; Social policies; Inequalities, discrimination, prejudice</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</si>
  <si>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</si>
  <si>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Understanding of sex and/or gender-specific mechanisms of cardiovascular diseases</t>
  </si>
  <si>
    <t>Cardiovascular diseases; Gender; Epigenetics; Genomics; Endocrinology; Public health and epidemiology</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</si>
  <si>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</si>
  <si>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partnership coordinates research across Europe to improve how rare diseases are diagnosed and treated. It builds a network for clinical trials and ensures patient health data is shared securely to speed up the development of new medicines.</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</si>
  <si>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</si>
  <si>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</si>
  <si>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Cardiovascular diseases; Strategy, operation research; Public health and epidemiology; Digital medicine; Medical applications of artificial intelligence</t>
  </si>
  <si>
    <t>This project will create a long-term research plan to help European countries prevent and detect heart diseases using digital tools and AI. It focuses on removing barriers to innovation and ensuring new screening protocols are adopted widely.</t>
  </si>
  <si>
    <t>Cardiovascular diseases; Metabolism and metabolic disorders; Clinical trials; Health care; Digital medicine; Health economics; Multi-morbidity</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</si>
  <si>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</si>
  <si>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Development of novel small molecule antiviral therapeutics</t>
  </si>
  <si>
    <t>Small molecule drug design; Virology; Infectious diseases; Pharmacology and toxicology; Medicinal chemistry; Clinical trials; GMP</t>
  </si>
  <si>
    <t>This call supports the discovery and testing of new small molecule drugs designed to treat viral infections that could cause future pandemics. The goal is to move drug candidates through safety testing and manufacturing for rapid clinical use during a crisis.</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</si>
  <si>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</si>
  <si>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</si>
  <si>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</si>
  <si>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</si>
  <si>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</si>
  <si>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</si>
  <si>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</si>
  <si>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</si>
  <si>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</si>
  <si>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Prevention and management of chronic NCDs in young people (GACD)</t>
  </si>
  <si>
    <t>Non-communicable diseases; Public health and epidemiology; Implementation science; Child development; Nutrition; Physical activity</t>
  </si>
  <si>
    <t>This call focuses on using implementation research to prevent and manage chronic conditions in youth, especially in disadvantaged communities. Scientists will evaluate school programs and digital tools to help young people adopt lifelong healthy habits.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</si>
  <si>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</si>
  <si>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</si>
  <si>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</si>
  <si>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Public procurement of innovative solutions (integrated care)</t>
  </si>
  <si>
    <t>Public authorities will work together to purchase and deploy new digital technologies that make it easier for patients to access medical care. The goal is to improve coordination between hospitals and home settings using tools like AI.</t>
  </si>
  <si>
    <t>Personalised approaches to reduce risks from Adverse Drug Reactions</t>
  </si>
  <si>
    <t>Researchers will develop personalised tools to help doctors prevent harmful side effects in patients who take several different medications at once. By using genetic information and digital health records, the project aims to make medication management safer.</t>
  </si>
  <si>
    <t>Identifying and addressing low-value care in health systems</t>
  </si>
  <si>
    <t>Health care; Public health and epidemiology; Health economics; Efficiency; Patient safety; Data processing; Management</t>
  </si>
  <si>
    <t>This project aims to develop tools that help hospitals identify medical procedures that are wasteful or potentially harmful. By reducing these services, health systems can reallocate limited resources to more effective treatments and improve outcomes.</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</si>
  <si>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</si>
  <si>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</si>
  <si>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</si>
  <si>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Integrating New Approach Methodologies (NAMs)</t>
  </si>
  <si>
    <t>This topic supports the development of laboratory models, such as organ-on-a-chip, that can replace or reduce the need for animal testing. These tools will help scientists better understand diseases and test drug safety more efficiently.</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</si>
  <si>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</si>
  <si>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</si>
  <si>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</si>
  <si>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</si>
  <si>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</si>
  <si>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</si>
  <si>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</si>
  <si>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</si>
  <si>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</si>
  <si>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</si>
  <si>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</si>
  <si>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Development of predictive biomarkers (AI for NCDs)</t>
  </si>
  <si>
    <t>Bioinformatics and computational biology; AI; Machine learning; ‘omics for personalised medicine; Integrative biology; Genetic diseases</t>
  </si>
  <si>
    <t>This topic focuses on using AI to identify biological markers that predict how chronic diseases will progress in individual patients. Researchers will combine diverse health data to help doctors choose the most effective personalised treatments.</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</si>
  <si>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</si>
  <si>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</si>
  <si>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</si>
  <si>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</si>
  <si>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Virtual Human Twins (VHTs) for clinical decision support</t>
  </si>
  <si>
    <t>This action develops advanced computer simulations of human organs to help doctors make better decisions about disease prevention and diagnosis. Virtual models will integrate patient data to provide personalised health insights.</t>
  </si>
  <si>
    <t>This CSA creates a plan for developing highly advanced AI that can handle complex medical tasks across different areas of healthcare. It ensures that health data is used safely and ethically to build these next-generation AI models.</t>
  </si>
  <si>
    <t>Development of cell-free protein synthesis platforms</t>
  </si>
  <si>
    <t>This research aims to develop faster ways to manufacture protein-based medicines without using living cells. By using synthetic biology and AI, scientists will create systems that can produce biological drugs locally and affordably.</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</si>
  <si>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</si>
  <si>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</si>
  <si>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</si>
  <si>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</si>
  <si>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project aims to create portable medical testing devices that provide fast results directly at the patient's bedside. These tools are designed to help healthcare providers make quick treatment decisions in resource-limited settings.</t>
  </si>
  <si>
    <t>Keywords</t>
  </si>
  <si>
    <t>HORIZON-CL6-2026-01-BIODIV-01</t>
  </si>
  <si>
    <t>Understanding and tackling the decline of insects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</si>
  <si>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</si>
  <si>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</si>
  <si>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HORIZON-CL6-2026-01-BIODIV-02</t>
  </si>
  <si>
    <t>Developing methods to assess the presence, functions and sensitivity of groundwater ecosystems</t>
  </si>
  <si>
    <t>PE10 Earth System Science</t>
  </si>
  <si>
    <t>This initiative focuses on developing new methods to evaluate the health and sensitivity of groundwater ecosystems across Europe. It aims to provide scientific evidence for better protecting drinking water resources and managing the impacts of pollution.</t>
  </si>
  <si>
    <t>HORIZON-CL6-2026-01-BIODIV-03</t>
  </si>
  <si>
    <t>Pushing the frontier of knowledge and conservation action for deep sea ecosystems</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</si>
  <si>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</si>
  <si>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</si>
  <si>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HORIZON-CL6-2026-01-BIODIV-04</t>
  </si>
  <si>
    <t>Ensuring continuous effectiveness of protected areas in conserving habitats and species while facing intensifying drivers of biodiversity loss</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</si>
  <si>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</si>
  <si>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</si>
  <si>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HORIZON-CL6-2026-01-BIODIV-05</t>
  </si>
  <si>
    <t>Advancing integrated scenarios and prediction models for informing transition to a nature positive society</t>
  </si>
  <si>
    <t>PE10 Earth System Science; SH7 Human Mobility, Environment, and Space</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</si>
  <si>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</si>
  <si>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HORIZON-CL6-2026-01-BIODIV-06</t>
  </si>
  <si>
    <t>Boosting agrobiodiversity for food security and sustainable competitiveness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</si>
  <si>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</si>
  <si>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</si>
  <si>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HORIZON-CL6-2026-01-BIODIV-01-two-stage</t>
  </si>
  <si>
    <t>Living labs for co-creating solutions for the restoration of ecosystems</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</si>
  <si>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</si>
  <si>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</si>
  <si>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HORIZON-CL6-2026-01-BIODIV-02-two-stage</t>
  </si>
  <si>
    <t>Open topic: Uncovering the causes of specific species’ rapid decline and exploring actionable solutions</t>
  </si>
  <si>
    <t>This open topic investigates the causes behind the rapid population decline of specific common or widespread wild species. It seeks to provide land and water managers with practical actions to prevent further loss and support species recovery.</t>
  </si>
  <si>
    <t>HORIZON-CL6-2026-01-BIODIV-03-two-stage</t>
  </si>
  <si>
    <t>Unlocking the potential of citizen action for nature protection and restoration</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</si>
  <si>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</si>
  <si>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</si>
  <si>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HORIZON-CL6-2026-01-BIODIV-04-two-stage</t>
  </si>
  <si>
    <t>Mainstreaming and scaling-up evidence-based Nature-Based Solutions towards a nature positive and climate-resilient economy</t>
  </si>
  <si>
    <t>SH7 Human Mobility, Environment, and Space; PE10 Earth System Science</t>
  </si>
  <si>
    <t>This project focuses on providing robust evidence to help policymakers scale up nature-based solutions across various economic sectors. It aims to assess the long-term effectiveness of these solutions in building a nature-positive and climate-resilient economy.</t>
  </si>
  <si>
    <t>HORIZON-CL6-2027-01-BIODIV-01</t>
  </si>
  <si>
    <t>Integrating Remote Sensing and in-situ observations of Biodiversity, towards a fully interoperable observation and data framework</t>
  </si>
  <si>
    <t>PE10 Earth System Science; PE6 Computer Science and Informatics</t>
  </si>
  <si>
    <t>This topic aims to integrate satellite data with ground observations to create a harmonized framework for monitoring biodiversity trends. It will use advanced artificial intelligence to help researchers and decision-makers better track the health of ecosystems.</t>
  </si>
  <si>
    <t>HORIZON-CL6-2027-01-BIODIV-02</t>
  </si>
  <si>
    <t>Science-policy support to the implementation of EU and global biodiversity policies and strategies</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</si>
  <si>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</si>
  <si>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</si>
  <si>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HORIZON-CL6-2027-01-BIODIV-03</t>
  </si>
  <si>
    <t>Technical innovation to protect ecosystems and to scale up their restoration</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</si>
  <si>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</si>
  <si>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</si>
  <si>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HORIZON-CL6-2027-01-BIODIV-04</t>
  </si>
  <si>
    <t>Living Labs for the eradication and/or management of invasive alien species</t>
  </si>
  <si>
    <t>This project will establish living labs to develop and test innovative strategies for detecting and managing invasive alien species. It aims to protect native ecosystems from biodiversity loss and reduce the negative economic impacts of biological invasions.</t>
  </si>
  <si>
    <t>HORIZON-CL6-2027-01-BIODIV-05</t>
  </si>
  <si>
    <t>Accelerating the transition to a nature positive economy: Integrating biodiversity into the private sector</t>
  </si>
  <si>
    <t>SH1 Individuals, Markets and Organisations; SH7 Human Mobility, Environment, and Space</t>
  </si>
  <si>
    <t>This topic aims to help businesses integrate biodiversity considerations into their corporate strategies and financial reporting. It will pilot new financial mechanisms, such as nature credits, to strengthen the economic case for nature protection.</t>
  </si>
  <si>
    <t>HORIZON-CL6-2027-01-BIODIV-06</t>
  </si>
  <si>
    <t>Living labs driving transformative change via knowledge integration and inclusive governance</t>
  </si>
  <si>
    <t>SH2 Institutions, Governance and Legal Systems; SH7 Human Mobility, Environment, and Space</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</si>
  <si>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</si>
  <si>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HORIZON-CL6-2027-01-BIODIV-07</t>
  </si>
  <si>
    <t>Health of ecosystems and wild species, predictions and impacts on human health, in the face of existing and emerging stressors, from a One Health approach</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</si>
  <si>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</si>
  <si>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</si>
  <si>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HORIZON-CL6-2027-01-BIODIV-08</t>
  </si>
  <si>
    <t>Fostering common farmland birds and mammals for resilient food production systems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</si>
  <si>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</si>
  <si>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</si>
  <si>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HORIZON-CL6-2027-01-BIODIV-09</t>
  </si>
  <si>
    <t>Enhancing the competitiveness of organic crop breeding: focus on intercropping adapted varieties</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</si>
  <si>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</si>
  <si>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</si>
  <si>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HORIZON-CL6-2026-02-FARM2FORK-01</t>
  </si>
  <si>
    <t>Developing innovative phytosanitary treatments for regulated plant pests to support safe international trade</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</si>
  <si>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</si>
  <si>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</si>
  <si>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HORIZON-CL6-2026-02-FARM2FORK-02</t>
  </si>
  <si>
    <t>Tackling pesticide resistance: early detection, management strategies, and foresight</t>
  </si>
  <si>
    <t>This research aims to understand and detect when pests become resistant to pesticides and find better ways to manage this problem. It will provide farmers with new, eco-friendly tools and strategies to keep crops healthy and farming sustainable.</t>
  </si>
  <si>
    <t>HORIZON-CL6-2026-02-FARM2FORK-03</t>
  </si>
  <si>
    <t>Boosting the competitiveness of protein crops in Europe</t>
  </si>
  <si>
    <t>This initiative seeks to make protein crops more competitive in Europe by developing better farming tools and creating new ways to use crop by-products. The goal is to help farmers become more profitable while reducing Europe's reliance on imported plant proteins.</t>
  </si>
  <si>
    <t>HORIZON-CL6-2026-02-FARM2FORK-04</t>
  </si>
  <si>
    <t>Accelerating the development of breeding tools for perennial crops, specifically fruits and nuts</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</si>
  <si>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</si>
  <si>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</si>
  <si>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HORIZON-CL6-2026-02-FARM2FORK-05</t>
  </si>
  <si>
    <t>Boosting circularity and diversification strategies of terrestrial livestock production systems</t>
  </si>
  <si>
    <t>This topic explores how livestock farming can become more circular and diverse by better using by-products and mixed farming systems. It aims to provide farmers with practical tools to improve their income while protecting local nature and resources.</t>
  </si>
  <si>
    <t>HORIZON-CL6-2026-02-FARM2FORK-06</t>
  </si>
  <si>
    <t>Advanced innovative solutions for improved competitiveness and sustainability in controlled environment agriculture (CEA)</t>
  </si>
  <si>
    <t>LS9 Biotechnology and Biosystems Engineering; PE8 Products and Processes Engineering</t>
  </si>
  <si>
    <t>This project develops smart technology and AI tools to make indoor farming, like greenhouses and vertical farms, more efficient and sustainable. It aims to help farmers grow crops with less energy and water while ensuring food security and profit.</t>
  </si>
  <si>
    <t>HORIZON-CL6-2026-02-FARM2FORK-07</t>
  </si>
  <si>
    <t>Strengthening the EU plant protection ecosystem for a future-proof agriculture</t>
  </si>
  <si>
    <t>This call aims to build a strong network across Europe to help farmers transition to safer and more natural plant protection methods. It will provide clear advice to policymakers and sectors on how to handle the phase-out of harmful pesticides.</t>
  </si>
  <si>
    <t>HORIZON-CL6-2026-02-FARM2FORK-08</t>
  </si>
  <si>
    <t>Advancing basic knowledge and developing tools for sustainable management of key migratory fish species</t>
  </si>
  <si>
    <t>This initiative focuses on studying the life cycles and threats to migratory fish to better manage and protect their natural habitats. It will provide authorities with new tools to restore fish populations and ensure healthy aquatic ecosystems.</t>
  </si>
  <si>
    <t>HORIZON-CL6-2026-02-FARM2FORK-09</t>
  </si>
  <si>
    <t>Sustainable and healthy diets for cardiovascular diseases prevention with the support of digital applications</t>
  </si>
  <si>
    <t>This project uses digital tools and AI to help people choose healthy diets that prevent heart disease by looking at their unique gut microbiomes. It aims to provide SMEs with the evidence they need to create new health apps and services for the public.</t>
  </si>
  <si>
    <t>HORIZON-CL6-2026-02-FARM2FORK-10</t>
  </si>
  <si>
    <t>Sustainable and healthy diets based on health status and socio-economic risk factors of ageing population</t>
  </si>
  <si>
    <t>This call focuses on identifying the specific nutritional needs of people over 65 to help them live healthier, more active lives. It will create clear diet recommendations for caregivers and families to prevent malnutrition in the elderly.</t>
  </si>
  <si>
    <t>HORIZON-CL6-2026-02-FARM2FORK-11</t>
  </si>
  <si>
    <t>Integrating a holistic perspective in microbiome research for resilient, competitive and sustainable food systems</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</si>
  <si>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</si>
  <si>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</si>
  <si>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HORIZON-CL6-2026-02-FARM2FORK-12</t>
  </si>
  <si>
    <t>Leveraging R&amp;I knowledge on microbiome</t>
  </si>
  <si>
    <t>This project will set up a central information hub to coordinate microbiome research and help turn scientific findings into real-world food solutions. It will guide policymakers on how to use microbiome science to improve human health and the environment.</t>
  </si>
  <si>
    <t>HORIZON-CL6-2026-02-FARM2FORK-13</t>
  </si>
  <si>
    <t>Boosting plant health and reducing losses on farm and during storage for sustainable growth in Africa (FNSSA)</t>
  </si>
  <si>
    <t>This call aims to help African farmers protect their crops from pests during growth and storage to reduce food loss and improve food security. It will develop affordable, eco-friendly methods that respect local knowledge and the environment.</t>
  </si>
  <si>
    <t>HORIZON-CL6-2026-02-FARM2FORK-14</t>
  </si>
  <si>
    <t>Green Transition Food Processing Africa</t>
  </si>
  <si>
    <t>This initiative supports the development of better food processing and storage facilities in Africa for local crops like millet and cassava. It aims to reduce food waste and create new jobs for young entrepreneurs using sustainable technology.</t>
  </si>
  <si>
    <t>HORIZON-CL6-2026-02-FARM2FORK-01-two-stage</t>
  </si>
  <si>
    <t>Open topic: Improving the competitiveness of the agricultural sector by enhancing the efficient and sustainable use of agricultural production factors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</si>
  <si>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</si>
  <si>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</si>
  <si>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HORIZON-CL6-2026-02-FARM2FORK-02-two-stage</t>
  </si>
  <si>
    <t>Open topic: Boosting organic farming for a competitive, sustainable and resilient farming sector</t>
  </si>
  <si>
    <t>This project aims to find new, practical ways to overcome the challenges of organic farming to make the sector more competitive and resilient. It will set up test sites across Europe to share best practices and evidence for future farming policies.</t>
  </si>
  <si>
    <t>HORIZON-CL6-2027-02-FARM2FORK-01</t>
  </si>
  <si>
    <t>Increasing the resilience of agriculture in water and nutrient-scarce environments through digital innovations</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</si>
  <si>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</si>
  <si>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</si>
  <si>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HORIZON-CL6-2027-02-FARM2FORK-02</t>
  </si>
  <si>
    <t>Increasing mitigation of GHG emissions and feed efficiency through feed additives</t>
  </si>
  <si>
    <t>This initiative aims to test and develop new feed additives that can reduce methane emissions from livestock while keeping animals healthy. It will provide farmers and advisors with the knowledge and tools needed to adopt these greener practices.</t>
  </si>
  <si>
    <t>HORIZON-CL6-2027-02-FARM2FORK-03</t>
  </si>
  <si>
    <t>Microbiome for terrestrial livestock sustainability and health within a One Health approach</t>
  </si>
  <si>
    <t>This project studies how the microbiomes of livestock affect animal health and the surrounding environment under a "One Health" approach. It aims to find ways to reduce the need for antibiotics while making farming more sustainable and productive.</t>
  </si>
  <si>
    <t>HORIZON-CL6-2027-02-FARM2FORK-04</t>
  </si>
  <si>
    <t>Improving understanding of the contribution of the organic farming sector to sustainability</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</si>
  <si>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</si>
  <si>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</si>
  <si>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HORIZON-CL6-2027-02-FARM2FORK-05</t>
  </si>
  <si>
    <t>Enhancing farmer's profitability and resilience through innovations for diversified crops and value chains</t>
  </si>
  <si>
    <t>This initiative seeks to help farmers switch to more diverse cropping systems to improve their profits and resilience against economic or climate shocks. It will showcase new business models and provide practical materials to help farmers make the transition.</t>
  </si>
  <si>
    <t>HORIZON-CL6-2027-02-FARM2FORK-06</t>
  </si>
  <si>
    <t>Unleashing the potential of sustainable small-scale aquatic food production and recreational fisheries for prosperous local communities</t>
  </si>
  <si>
    <t>This project aims to unlock the potential of small-scale fisheries and aquaculture to support local jobs and provide healthy, sustainable food. It will develop new management tools and business models that empower local communities and protect nature.</t>
  </si>
  <si>
    <t>HORIZON-CL6-2027-02-FARM2FORK-07</t>
  </si>
  <si>
    <t>Towards commercialization of food systems microbiome solutions</t>
  </si>
  <si>
    <t>This call focuses on overcoming the barriers to bringing new microbiome-based food solutions, like natural fertilizers or food safety tools, to the market. It will provide business models and standards to help SMEs and startups succeed in this sector.</t>
  </si>
  <si>
    <t>HORIZON-CL6-2027-02-FARM2FORK-08</t>
  </si>
  <si>
    <t>AI-powered foodome characterization</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</si>
  <si>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</si>
  <si>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</si>
  <si>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HORIZON-CL6-2027-02-FARM2FORK-09</t>
  </si>
  <si>
    <t>African Union – European Union Partnership on Food and Nutrition Security and Sustainable Agriculture (FNSSA)</t>
  </si>
  <si>
    <t>This project strengthens the partnership between the EU and the African Union to improve food security and sustainable farming practices. It will provide a platform for funders to support new agricultural innovations and help startups grow in both regions.</t>
  </si>
  <si>
    <t>HORIZON-CL6-2027-02-FARM2FORK-01-two-stage</t>
  </si>
  <si>
    <t>Strengthening plant health: addressing emerging plant pest risks</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</si>
  <si>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</si>
  <si>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</si>
  <si>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HORIZON-CL6-2027-02-FARM2FORK-02-two-stage</t>
  </si>
  <si>
    <t>Optimising the water-nutrient-energy nexus for sustainable and climate smart agriculture in Africa (FNSSA)</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</si>
  <si>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</si>
  <si>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</si>
  <si>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HORIZON-CL6-2026-01-CIRCBIO-01</t>
  </si>
  <si>
    <t>Improving circularity of multilayer flexible plastic food contact packaging</t>
  </si>
  <si>
    <t>PE11 Materials Engineering; PE8 Products and Processes Engineering</t>
  </si>
  <si>
    <t>This project aims to improve the recycling of complex plastic food packaging by developing new technologies for sorting and decontamination. The goal is to produce high-quality recycled plastic that is safe enough to be reused in new food packaging.</t>
  </si>
  <si>
    <t>HORIZON-CL6-2026-01-CIRCBIO-02</t>
  </si>
  <si>
    <t>Advancing recycling technologies for mixed post-consumer textiles waste from blended products</t>
  </si>
  <si>
    <t>This initiative focuses on developing new ways to recycle clothing and home textiles made from mixtures of different fibers. By improving sorting and processing, the project seeks to turn old textiles into high-quality new fibers for the manufacturing industry.</t>
  </si>
  <si>
    <t>HORIZON-CL6-2026-01-CIRCBIO-03</t>
  </si>
  <si>
    <t>Advanced recovery of critical raw materials from Waste from Electrical and Electronic Equipment (WEEE)</t>
  </si>
  <si>
    <t>PE8 Products and Processes Engineering; PE11 Materials 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</si>
  <si>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</si>
  <si>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HORIZON-CL6-2026-01-CIRCBIO-04</t>
  </si>
  <si>
    <t>Demonstrating and deploying innovative collection, sorting-for-reuse and repair systems for textiles at city/region level (Circular Cities and Regions Initiative topic)</t>
  </si>
  <si>
    <t>SH7 Human Mobility, Environment, and Space; SH3 The Social World and Its Interactions</t>
  </si>
  <si>
    <t>This project supports cities in setting up better systems for collecting, repairing, and reusing old clothes and textiles. It involves local businesses and social enterprises to create new jobs while reducing textile waste and consumption.</t>
  </si>
  <si>
    <t>HORIZON-CL6-2026-01-CIRCBIO-05</t>
  </si>
  <si>
    <t>Understanding biomass flows in Europe</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</si>
  <si>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</si>
  <si>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HORIZON-CL6-2026-01-CIRCBIO-06</t>
  </si>
  <si>
    <t>Bioeconomy policy support hub for Member States, regions and sectors</t>
  </si>
  <si>
    <t>This project will establish a central hub to provide expert advice and training to European regions on how to build sustainable bioeconomies. It aims to help governments coordinate their policies to better use biological resources and support local innovation.</t>
  </si>
  <si>
    <t>HORIZON-CL6-2026-01-CIRCBIO-07</t>
  </si>
  <si>
    <t>Advancing the European bio-based innovation enabled by biotechnology and biomanufacturing concepts</t>
  </si>
  <si>
    <t>This research focuses on using advanced genetic and biological tools to create new bio-based products and manufacturing processes. The goal is to develop sustainable alternatives to fossil-based chemicals while improving resource efficiency and reducing waste.</t>
  </si>
  <si>
    <t>HORIZON-CL6-2026-01-CIRCBIO-08</t>
  </si>
  <si>
    <t>Supporting pre-normative research for standardization of the bio-based products</t>
  </si>
  <si>
    <t>PE8 Products and Processes Engineering; SH1 Individuals, Markets and Organisations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</si>
  <si>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</si>
  <si>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HORIZON-CL6-2026-01-CIRCBIO-09</t>
  </si>
  <si>
    <t>Balancing food security, bioeconomy, climate and biodiversity objectives to unlock sustainable value chains</t>
  </si>
  <si>
    <t>SH7 Human Mobility, Environment, and Space; SH1 Individuals, Markets and Organisations</t>
  </si>
  <si>
    <t>This research explores how to use agricultural land for bio-based products without threatening food supplies or harming nature. It will develop new business models that allow farmers to diversify their income while protecting the climate and biodiversity.</t>
  </si>
  <si>
    <t>HORIZON-CL6-2026-01-CIRCBIO-10</t>
  </si>
  <si>
    <t>Bio-based innovation in society: supporting the sustainable way of living</t>
  </si>
  <si>
    <t>SH3 The Social World and Its Interactions; SH7 Human Mobility, Environment, and Space</t>
  </si>
  <si>
    <t>This project seeks to understand how the public perceives biological innovations and to design sustainable products that people will actually want to use. The research will help create new social and economic models that support a healthier, bio-based lifestyle.</t>
  </si>
  <si>
    <t>HORIZON-CL6-2026-01-CIRCBIO-11</t>
  </si>
  <si>
    <t>Harnessing the unique properties of marine organisms to deliver sustainable blue bio-based products</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</si>
  <si>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</si>
  <si>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</si>
  <si>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HORIZON-CL6-2026-01-CIRCBIO-01-two-stage</t>
  </si>
  <si>
    <t>Deploying circular systemic solutions through living labs in cities and regions (Circular Cities and Regions Initiative topic)</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</si>
  <si>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</si>
  <si>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HORIZON-CL6-2026-01-CIRCBIO-02-two-stage</t>
  </si>
  <si>
    <t>Open topic: Using the Circular Cities and Regions Initiative to strengthen urban manufacturing in support of the Clean Industrial Deal</t>
  </si>
  <si>
    <t>PE8 Products and Processes Engineering; SH7 Human Mobility, Environment, and Space</t>
  </si>
  <si>
    <t>This open topic aims to help manufacturers located in cities transition to cleaner and more efficient production methods. It supports the return of local manufacturing by providing tools to reduce material use and waste in urban environments.</t>
  </si>
  <si>
    <t>HORIZON-CL6-2027-01-CIRCBIO-01</t>
  </si>
  <si>
    <t>Enhancing ecodesign and circularity of consumer electronics</t>
  </si>
  <si>
    <t>This project focuses on designing consumer electronics that are easier to repair, upgrade, and recycle. It seeks to provide consumers with longer-lasting products while helping the industry recover valuable raw materials from electronic waste.</t>
  </si>
  <si>
    <t>HORIZON-CL6-2027-01-CIRCBIO-02</t>
  </si>
  <si>
    <t>Enhancing ecodesign and circularity of construction products</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</si>
  <si>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</si>
  <si>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HORIZON-CL6-2027-01-CIRCBIO-03</t>
  </si>
  <si>
    <t>Developing novel recycling technologies for complex plastic materials applying biotech solutions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</si>
  <si>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</si>
  <si>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</si>
  <si>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HORIZON-CL6-2027-01-CIRCBIO-04</t>
  </si>
  <si>
    <t>Capacity building for extending product lifecycles through repair and refurbishment</t>
  </si>
  <si>
    <t>SH3 The Social World and Its Interactions; SH1 Individuals, Markets and Organisations</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</si>
  <si>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</si>
  <si>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HORIZON-CL6-2027-01-CIRCBIO-05</t>
  </si>
  <si>
    <t>Innovative circular solutions for end-of-life footwear through collection, sorting and recycling</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</si>
  <si>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</si>
  <si>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</si>
  <si>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HORIZON-CL6-2027-01-CIRCBIO-06</t>
  </si>
  <si>
    <t>Towards a Europe of Bioeconomy Places</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</si>
  <si>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</si>
  <si>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HORIZON-CL6-2027-01-CIRCBIO-07</t>
  </si>
  <si>
    <t>Improving biomass flows for a sustainable and circular bioeconomy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</si>
  <si>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</si>
  <si>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HORIZON-CL6-2027-01-CIRCBIO-08</t>
  </si>
  <si>
    <t>Biotechnology application for CCU</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</si>
  <si>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</si>
  <si>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HORIZON-CL6-2027-01-CIRCBIO-09</t>
  </si>
  <si>
    <t>Increasing the circularity of bio-based sector: upcycling and recycling for higher value and environmental benefits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</si>
  <si>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</si>
  <si>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</si>
  <si>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HORIZON-CL6-2027-01-CIRCBIO-10</t>
  </si>
  <si>
    <t>Strengthening forest research for the support of Ukraine</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</si>
  <si>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</si>
  <si>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HORIZON-CL6-2027-01-CIRCBIO-01-two-stage</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</si>
  <si>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</si>
  <si>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</si>
  <si>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HORIZON-CL6-2027-01-CIRCBIO-02-two-stage</t>
  </si>
  <si>
    <t>This open topic aims to help urban manufacturers modernize their businesses by adopting clean and circular practices. It supports the development of lead markets for sustainable products while making urban centers more resilient and less polluted.</t>
  </si>
  <si>
    <t>HORIZON-CL6-2026-01-ZEROPOLLUTION-01</t>
  </si>
  <si>
    <t>Toward a comprehensive assessment of the disturbance of marine ecosystems by anthropogenic underwater noise</t>
  </si>
  <si>
    <t>HORIZON-CL6-2026-01-ZEROPOLLUTION-02</t>
  </si>
  <si>
    <t>Bioremediation of Ukraine’s ecosystems contaminated by conflicts</t>
  </si>
  <si>
    <t>HORIZON-CL6-2026-01-ZEROPOLLUTION-03</t>
  </si>
  <si>
    <t>Developing managed aquifer recharge techniques (MAR) in a rural context</t>
  </si>
  <si>
    <t>PE10 Earth System Science; PE8 Products and Processes Engineering</t>
  </si>
  <si>
    <t>HORIZON-CL6-2026-01-ZEROPOLLUTION-01-two-stage</t>
  </si>
  <si>
    <t>Decontaminate and bioremediate aquatic pollution</t>
  </si>
  <si>
    <t>HORIZON-CL6-2027-01-ZEROPOLLUTION-01</t>
  </si>
  <si>
    <t>Replacing hazardous substances in biocidal products</t>
  </si>
  <si>
    <t>LS9 Biotechnology and Biosystems Engineering; PE4 Physical and Analytical Chemical Sciences</t>
  </si>
  <si>
    <t>HORIZON-CL6-2027-01-ZEROPOLLUTION-02</t>
  </si>
  <si>
    <t>Developing effective air quality planning strategies through innovative multi-scale modelling</t>
  </si>
  <si>
    <t>HORIZON-CL6-2027-01-ZEROPOLLUTION-03</t>
  </si>
  <si>
    <t>Improve the capacity to monitor and reduce air pollution from agriculture</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</si>
  <si>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</si>
  <si>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HORIZON-CL6-2027-01-ZEROPOLLUTION-04</t>
  </si>
  <si>
    <t>Europe-wide environmental benchmarking system of the industrial bioeconomy sectors</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</si>
  <si>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</si>
  <si>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</si>
  <si>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</si>
  <si>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</si>
  <si>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</si>
  <si>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</si>
  <si>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</si>
  <si>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HORIZON-CL6-2026-02-CLIMATE-01</t>
  </si>
  <si>
    <t>Towards more effective, fair and coherent policies for climate change mitigation and adaptation in agriculture and forestry</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</si>
  <si>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</si>
  <si>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HORIZON-CL6-2026-02-CLIMATE-02</t>
  </si>
  <si>
    <t>Towards the water infrastructures of the future</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</si>
  <si>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</si>
  <si>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HORIZON-CL6-2027-02-CLIMATE-01</t>
  </si>
  <si>
    <t>Governance, sustainable development and international politics of a future ice-free Arctic</t>
  </si>
  <si>
    <t>PE10 Earth System Science; SH2 Institutions, Governance and Legal Systems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</si>
  <si>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</si>
  <si>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HORIZON-CL6-2027-02-CLIMATE-02</t>
  </si>
  <si>
    <t>Strengthening evidence-based policies for the resilience of European agriculture and forestry and related supply chains against crises and systemic risks</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</si>
  <si>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</si>
  <si>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HORIZON-CL6-2027-02-CLIMATE-03</t>
  </si>
  <si>
    <t>Carbon farming innovation and scale-up</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</si>
  <si>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</si>
  <si>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HORIZON-CL6-2027-02-CLIMATE-04</t>
  </si>
  <si>
    <t>Unlocking a safe operating space for Antarctica and the Southern Ocean</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</si>
  <si>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</si>
  <si>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HORIZON-CL6-2027-02-CLIMATE-01-two-stage</t>
  </si>
  <si>
    <t>Open topic: Innovative solutions for the European Water Resilience Strategy</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</si>
  <si>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</si>
  <si>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HORIZON-CL6-2026-02-COMMUNITIES-01</t>
  </si>
  <si>
    <t>Boosting sustainable competitiveness in rural areas through innovation</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</si>
  <si>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</si>
  <si>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HORIZON-CL6-2027-02-COMMUNITIES-01</t>
  </si>
  <si>
    <t>Strengthening rural communities' resilience to shocks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</si>
  <si>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</si>
  <si>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HORIZON-CL6-2027-02-COMMUNITIES-02</t>
  </si>
  <si>
    <t>Empowering local urban food systems entrepreneurship and innovation</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</si>
  <si>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</si>
  <si>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HORIZON-CL6-2026-03-GOVERNANCE-01</t>
  </si>
  <si>
    <t>Additional activities for the Sustainable Blue Economy Partnership (SBEP)</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</si>
  <si>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</si>
  <si>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HORIZON-CL6-2026-03-GOVERNANCE-02</t>
  </si>
  <si>
    <t>Improving analytical capacity and understanding of social drivers in agriculture to better assess social sustainability in the sector</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</si>
  <si>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</si>
  <si>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HORIZON-CL6-2026-03-GOVERNANCE-03</t>
  </si>
  <si>
    <t>Empowering the UN Decade of Ocean Science for Sustainable Development</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</si>
  <si>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</si>
  <si>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HORIZON-CL6-2026-03-GOVERNANCE-04</t>
  </si>
  <si>
    <t>Supporting All-Atlantic Ocean Research and Innovation Alliance</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</si>
  <si>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</si>
  <si>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HORIZON-CL6-2026-03-GOVERNANCE-05</t>
  </si>
  <si>
    <t>Coordinated European contribution to the WMO Global Greenhouse Gas Watch and its international governance</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</si>
  <si>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</si>
  <si>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HORIZON-CL6-2026-03-GOVERNANCE-06</t>
  </si>
  <si>
    <t>A services and business incubator for geospatial open-source developments</t>
  </si>
  <si>
    <t>PE6 Computer Science and Informatics; SH1 Individuals, Markets and Organisations</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</si>
  <si>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</si>
  <si>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HORIZON-CL6-2026-03-GOVERNANCE-07</t>
  </si>
  <si>
    <t>Interconnect Earth Observation research for addressing environmental policies</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</si>
  <si>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</si>
  <si>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HORIZON-CL6-2026-03-GOVERNANCE-08</t>
  </si>
  <si>
    <t>Boosting data availability and AI solutions in food for consumers and food service professionals</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</si>
  <si>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</si>
  <si>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</si>
  <si>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HORIZON-CL6-2026-03-GOVERNANCE-09</t>
  </si>
  <si>
    <t>Increasing knowledge flows to practice within AKIS via EU thematic knowledge hubs</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</si>
  <si>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</si>
  <si>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HORIZON-CL6-2026-03-GOVERNANCE-10</t>
  </si>
  <si>
    <t>Embracing innovation in agriculture by peer-to-peer learning via on farm-demonstrations and cost-benefit analysis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</si>
  <si>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</si>
  <si>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HORIZON-CL6-2026-03-GOVERNANCE-01-two-stage</t>
  </si>
  <si>
    <t>Open topic: Develop Earth Intelligence solutions using environmental observations and state-of-the-art AI for sustainable competitiveness and policy making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</si>
  <si>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</si>
  <si>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</si>
  <si>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HORIZON-CL6-2026-04-GOVERNANCE-01</t>
  </si>
  <si>
    <t>Additional activities for the European Partnership of Agriculture of Data</t>
  </si>
  <si>
    <t>This project provides continued support for the European Partnership of Agriculture of Data to develop ready-to-use digital tools for farmers and policymakers. It aims to defragment the European data landscape while leveraging satellite and in-situ observations.</t>
  </si>
  <si>
    <t>HORIZON-CL6-2027-03-GOVERNANCE-01</t>
  </si>
  <si>
    <t>Strengthening the resilience of European farmers through improved capacity in coping with risks and crises</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</si>
  <si>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</si>
  <si>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HORIZON-CL6-2027-03-GOVERNANCE-02</t>
  </si>
  <si>
    <t>Improving analytical capacity for sustainable competitiveness of the agricultural sector</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</si>
  <si>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</si>
  <si>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HORIZON-CL6-2027-03-GOVERNANCE-03</t>
  </si>
  <si>
    <t>International dimension of the circular bio-based economy: seeking win-win opportunities</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</si>
  <si>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</si>
  <si>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HORIZON-CL6-2027-03-GOVERNANCE-04</t>
  </si>
  <si>
    <t>AI supporting informed advice for farmers and foresters to improve competitiveness and sustainability</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</si>
  <si>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</si>
  <si>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</si>
  <si>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</si>
  <si>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HORIZON-CL6-2027-03-GOVERNANCE-06</t>
  </si>
  <si>
    <t>Fostering generational renewal in agriculture via EU advisory network</t>
  </si>
  <si>
    <t>This project aims to equip agricultural advisors with the skills and tools needed to support young talent entering the farming business. It focuses on creating high-quality training and awareness campaigns to make farming an attractive and viable career choice.</t>
  </si>
  <si>
    <t>HORIZON-CL6-2027-03-GOVERNANCE-07</t>
  </si>
  <si>
    <t>Strengthening strategic advice and synergies between EU and national Research and Innovation agendas and investments</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</si>
  <si>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</si>
  <si>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HORIZON-CL2-2026-01-DEMOCRACY-01</t>
  </si>
  <si>
    <t>Tackling gender-based violence against politically active women and LGBTIQ people</t>
  </si>
  <si>
    <t>SH2 Institutions, Governance and Legal Systems; SH3 The Social World and Its Interactions</t>
  </si>
  <si>
    <t>HORIZON-CL2-2026-01-DEMOCRACY-02</t>
  </si>
  <si>
    <t>Understanding the forms of local democracy in low-income and low-middle income countries</t>
  </si>
  <si>
    <t>HORIZON-CL2-2026-01-DEMOCRACY-03</t>
  </si>
  <si>
    <t>Government in transition – how governments change the way they work and prepare the civil service for the future</t>
  </si>
  <si>
    <t>HORIZON-CL2-2026-01-DEMOCRACY-04</t>
  </si>
  <si>
    <t>Sustainable paths to media viability</t>
  </si>
  <si>
    <t>HORIZON-CL2-2026-01-DEMOCRACY-05</t>
  </si>
  <si>
    <t>Research and Innovation Network for a Union of Equality</t>
  </si>
  <si>
    <t>HORIZON-CL2-2026-01-DEMOCRACY-06</t>
  </si>
  <si>
    <t>Governing global commons sustainably</t>
  </si>
  <si>
    <t>HORIZON-CL2-2026-01-DEMOCRACY-07</t>
  </si>
  <si>
    <t>Supporting post-conflict democracy and reconstruction</t>
  </si>
  <si>
    <t>HORIZON-CL2-2026-01-DEMOCRACY-08</t>
  </si>
  <si>
    <t>Electoral integrity in the digital context</t>
  </si>
  <si>
    <t>HORIZON-CL2-2026-01-DEMOCRACY-09</t>
  </si>
  <si>
    <t>Citizenship education as part of lifelong learning</t>
  </si>
  <si>
    <t>HORIZON-CL2-2026-01-DEMOCRACY-10</t>
  </si>
  <si>
    <t>Digital and media literacy as drivers for democratic and civic resilience</t>
  </si>
  <si>
    <t>HORIZON-CL2-2027-01-DEMOCRACY-01</t>
  </si>
  <si>
    <t>Advisory support and network for countering and preventing radicalisation, extremism, hate speech and polarisation</t>
  </si>
  <si>
    <t>HORIZON-CL2-2027-01-DEMOCRACY-02</t>
  </si>
  <si>
    <t>Women’s, LGBTIQ and minority rights in a context of autocracy, conflict and geopolitical shifts</t>
  </si>
  <si>
    <t>HORIZON-CL2-2027-01-DEMOCRACY-03</t>
  </si>
  <si>
    <t>Student and family engagement for developing a culture of democratic/civic participation</t>
  </si>
  <si>
    <t>HORIZON-CL2-2027-01-DEMOCRACY-04</t>
  </si>
  <si>
    <t>Addressing the impact of artificial intelligence, cyberviolence, and deepfakes on equality, democracy and inclusive societies</t>
  </si>
  <si>
    <t>SH2 Institutions, Governance and Legal Systems; PE6 Computer Science and Informatics</t>
  </si>
  <si>
    <t>HORIZON-CL2-2027-01-DEMOCRACY-05</t>
  </si>
  <si>
    <t>Development aid and democratic governance</t>
  </si>
  <si>
    <t>HORIZON-CL2-2027-01-DEMOCRACY-06</t>
  </si>
  <si>
    <t>Identifying user-focused solutions to support news media freedom</t>
  </si>
  <si>
    <t>HORIZON-CL2-2027-01-DEMOCRACY-07</t>
  </si>
  <si>
    <t>The role of private companies in democracy</t>
  </si>
  <si>
    <t>HORIZON-CL2-2027-01-DEMOCRACY-08</t>
  </si>
  <si>
    <t>Global Human Rights and EU values</t>
  </si>
  <si>
    <t>HORIZON-CL2-2027-02-DEMOCRACY-09-two-stage</t>
  </si>
  <si>
    <t>Open topic on reinvigorating and shielding European democracy</t>
  </si>
  <si>
    <t>Stage 1: 04/05/2027; Stage 2: 30/09/2027</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</si>
  <si>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</si>
  <si>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</si>
  <si>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</si>
  <si>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</si>
  <si>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</si>
  <si>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</si>
  <si>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</si>
  <si>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</si>
  <si>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</si>
  <si>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</si>
  <si>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</si>
  <si>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</si>
  <si>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</si>
  <si>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</si>
  <si>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</si>
  <si>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</si>
  <si>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</si>
  <si>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</si>
  <si>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</si>
  <si>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</si>
  <si>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</si>
  <si>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</si>
  <si>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</si>
  <si>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HORIZON-CL2-2026-01-HERITAGE-01</t>
  </si>
  <si>
    <t>“Artistic intelligence” : harnessing the power of the arts to address complex challenges, enhance soft skills and boost innovation and competitiveness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</si>
  <si>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</si>
  <si>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</si>
  <si>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HORIZON-CL2-2026-01-HERITAGE-02</t>
  </si>
  <si>
    <t>Boosting creative startups for disruptive innovation</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</si>
  <si>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</si>
  <si>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</si>
  <si>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HORIZON-CL2-2026-01-HERITAGE-03</t>
  </si>
  <si>
    <t>AI integration in CCSI work practice: catalysing innovation and competitiveness</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</si>
  <si>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</si>
  <si>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</si>
  <si>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HORIZON-CL2-2026-01-HERITAGE-04</t>
  </si>
  <si>
    <t>Towards a fair and transparent market for cultural and creative content in the era of generative AI</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</si>
  <si>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</si>
  <si>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</si>
  <si>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HORIZON-CL2-2026-01-HERITAGE-05</t>
  </si>
  <si>
    <t>Creative alliances: Fostering global partnerships in cultural policies and CCI innovation</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</si>
  <si>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</si>
  <si>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</si>
  <si>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HORIZON-CL2-2026-01-HERITAGE-06</t>
  </si>
  <si>
    <t>Safeguarding linguistic diversity in Europe</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</si>
  <si>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</si>
  <si>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</si>
  <si>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HORIZON-CL2-2026-01-HERITAGE-07</t>
  </si>
  <si>
    <t>Preventing and fighting illicit trafficking of cultural goods</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</si>
  <si>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</si>
  <si>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</si>
  <si>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HORIZON-CL2-2027-01-HERITAGE-01</t>
  </si>
  <si>
    <t>Towards a consolidated culture and creativity driven European innovation ecosystem</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</si>
  <si>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</si>
  <si>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HORIZON-CL2-2027-01-HERITAGE-02</t>
  </si>
  <si>
    <t>AI4Creatives Support Platform: embracing a fair AI revolution</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</si>
  <si>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</si>
  <si>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HORIZON-CL2-2027-01-HERITAGE-03</t>
  </si>
  <si>
    <t>Crafting routes to a circular economy</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</si>
  <si>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</si>
  <si>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</si>
  <si>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HORIZON-CL2-2027-01-HERITAGE-04</t>
  </si>
  <si>
    <t>Culture, heritage and creative industries for health and well-being</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</si>
  <si>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</si>
  <si>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</si>
  <si>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HORIZON-CL2-2027-01-HERITAGE-05</t>
  </si>
  <si>
    <t>Re-imagining the creative economy: the interplay between the cultural and creative sectors and industries and the social economy</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</si>
  <si>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</si>
  <si>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HORIZON-CL2-2027-01-HERITAGE-06</t>
  </si>
  <si>
    <t>Future-proofing sustainable cultural tourism</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</si>
  <si>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</si>
  <si>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HORIZON-CL2-2027-01-HERITAGE-07</t>
  </si>
  <si>
    <t>Societal impact of cultural heritage</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</si>
  <si>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</si>
  <si>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HORIZON-CL2-2027-01-HERITAGE-08</t>
  </si>
  <si>
    <t>Safeguarding &amp; transmission of intangible cultural heritage</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</si>
  <si>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</si>
  <si>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HORIZON-CL2-2027-02-HERITAGE-09-two-stage</t>
  </si>
  <si>
    <t>Open topic: Impact-driven research on realising the full potential of cultural heritage, arts and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</si>
  <si>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</si>
  <si>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</si>
  <si>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HORIZON-CL2-2026-02-TRANSFO-01</t>
  </si>
  <si>
    <t>Co-funded European Partnership for Social Transformations and Resilience</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</si>
  <si>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</si>
  <si>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HORIZON-CL2-2026-01-TRANSFO-02</t>
  </si>
  <si>
    <t>Open topic: Strengthen Europe's social model and sustainable competitiveness through productivity</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</si>
  <si>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</si>
  <si>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</si>
  <si>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HORIZON-CL2-2026-01-TRANSFO-03</t>
  </si>
  <si>
    <t>Tackling child poverty and ensuring disadvantaged children's access to Early Childhood Education and Care</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</si>
  <si>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</si>
  <si>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</si>
  <si>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HORIZON-CL2-2026-01-TRANSFO-04</t>
  </si>
  <si>
    <t>The impact of the use of digital tools outside school and for communication on educational outcomes and mental health</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</si>
  <si>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</si>
  <si>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</si>
  <si>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HORIZON-CL2-2026-01-TRANSFO-05</t>
  </si>
  <si>
    <t>Contribution of basic skills to productivity, innovation, competitiveness and economic growth</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</si>
  <si>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</si>
  <si>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HORIZON-CL2-2026-01-TRANSFO-06</t>
  </si>
  <si>
    <t>Making Europe a global magnet for talent - Attracting and retaining students, researchers and high-skilled workers from outside the EU</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</si>
  <si>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</si>
  <si>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HORIZON-CL2-2026-01-TRANSFO-07</t>
  </si>
  <si>
    <t>Fostering competences for the green transition</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</si>
  <si>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</si>
  <si>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HORIZON-CL2-2026-01-TRANSFO-08</t>
  </si>
  <si>
    <t>Strengthened implementation of the EU Pact on Migration and Asylum and a focus on inclusion, integration, and health</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</si>
  <si>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</si>
  <si>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</si>
  <si>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HORIZON-CL2-2026-01-TRANSFO-09</t>
  </si>
  <si>
    <t>Rethinking long-term care policy in the face of EU demographic shifts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</si>
  <si>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</si>
  <si>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HORIZON-CL2-2026-01-TRANSFO-10</t>
  </si>
  <si>
    <t>Fostering cooperation and integration between SSH and STEM research and innovation in the EU</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</si>
  <si>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</si>
  <si>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HORIZON-CL2-2027-01-TRANSFO-01</t>
  </si>
  <si>
    <t>Impact of access to nature-positive environments in promoting social cohesion and reducing inequalities in urban and peri-urban settings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</si>
  <si>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</si>
  <si>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HORIZON-CL2-2027-01-TRANSFO-02</t>
  </si>
  <si>
    <t>Impact of in-kind benefits on income distribution and on vulnerable populations</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</si>
  <si>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</si>
  <si>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HORIZON-CL2-2027-01-TRANSFO-03</t>
  </si>
  <si>
    <t>Rethinking sustainable competitiveness beyond traditional perspectives: role and contribution of the Social Economy</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</si>
  <si>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</si>
  <si>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HORIZON-CL2-2027-01-TRANSFO-04</t>
  </si>
  <si>
    <t>The impact of EU labour mobility on the Member States of the EU</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</si>
  <si>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</si>
  <si>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HORIZON-CL2-2027-01-TRANSFO-05</t>
  </si>
  <si>
    <t>The effective use of artificial intelligence in learning environments in pre-primary and primary education</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</si>
  <si>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</si>
  <si>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HORIZON-CL2-2027-01-TRANSFO-06</t>
  </si>
  <si>
    <t>Closing the learning gap: uncovering causes and effective policy interventions for declining youth skills in mathematics, reading, and science</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</si>
  <si>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</si>
  <si>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HORIZON-CL2-2027-01-TRANSFO-07</t>
  </si>
  <si>
    <t>Persons with disabilities: opportunities for labour inclusion and social protection through the life course</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</si>
  <si>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</si>
  <si>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HORIZON-CL2-2027-01-TRANSFO-08</t>
  </si>
  <si>
    <t>Scaling and deploying innovations in migration management</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</si>
  <si>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</si>
  <si>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HORIZON-CL2-2027-02-TRANSFO-09-two-stage</t>
  </si>
  <si>
    <t>Improving socio-economic outcomes for persons with dementia and informal caregivers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</si>
  <si>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</si>
  <si>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</si>
  <si>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HORIZON-CL3-2026-01-FCT-01</t>
  </si>
  <si>
    <t>Improving capabilities of law enforcement to counter climate-related challenges</t>
  </si>
  <si>
    <t>HORIZON-CL3-2026-01-FCT-02</t>
  </si>
  <si>
    <t>Open topic on preventing and countering the misuse of emerging technologies for criminal purposes, including issues related to lawful access to data</t>
  </si>
  <si>
    <t>HORIZON-CL3-2026-01-BM-01</t>
  </si>
  <si>
    <t>Advanced border surveillance and situational awareness</t>
  </si>
  <si>
    <t>HORIZON-CL3-2026-01-INFRA-01</t>
  </si>
  <si>
    <t>Tools and processes to support stress tests of critical infrastructure</t>
  </si>
  <si>
    <t>HORIZON-CL3-2026-01-DRS-01</t>
  </si>
  <si>
    <t>Designing new ways of risk awareness and enhanced disaster preparedness</t>
  </si>
  <si>
    <t>HORIZON-CL3-2027-01-BM-02</t>
  </si>
  <si>
    <t>Trusted, secure, quality future digital travel credentials</t>
  </si>
  <si>
    <t>HORIZON-CL3-2026-01-SSRI-02</t>
  </si>
  <si>
    <t>Demand-led innovation in security</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</si>
  <si>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</si>
  <si>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</si>
  <si>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HORIZON-CL3-2026-01-FCT-03</t>
  </si>
  <si>
    <t>Missing persons: prevention and investigation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</si>
  <si>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</si>
  <si>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</si>
  <si>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HORIZON-CL3-2026-01-FCT-04</t>
  </si>
  <si>
    <t>Crime prevention approaches, online and off-line, tackling the nexus between addictions and crime</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</si>
  <si>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</si>
  <si>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HORIZON-CL3-2026-01-FCT-05</t>
  </si>
  <si>
    <t>Enhancing the security of citizens against terrorism and lone-actor violence in confined spaces such as schools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</si>
  <si>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</si>
  <si>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</si>
  <si>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HORIZON-CL3-2026-01-FCT-06</t>
  </si>
  <si>
    <t>Prevention and mitigation of misuse of synthetic biology for bioterrorism purposes</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</si>
  <si>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</si>
  <si>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</si>
  <si>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HORIZON-CL3-2027-01-FCT-01</t>
  </si>
  <si>
    <t>Online harms detection and investigation tools using a short development cycle model</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</si>
  <si>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</si>
  <si>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HORIZON-CL3-2027-01-FCT-02</t>
  </si>
  <si>
    <t>Community policing in diverse societies in Europe</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</si>
  <si>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</si>
  <si>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</si>
  <si>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HORIZON-CL3-2027-01-FCT-03</t>
  </si>
  <si>
    <t>Open topic on enhanced prevention, detection and deterrence of societal issues related to various forms of crime</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</si>
  <si>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</si>
  <si>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</si>
  <si>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HORIZON-CL3-2027-01-FCT-04</t>
  </si>
  <si>
    <t>Open topic on increasing security of citizens against terrorism, including in public spaces</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</si>
  <si>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</si>
  <si>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</si>
  <si>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HORIZON-CL3-2027-01-FCT-05</t>
  </si>
  <si>
    <t>Effective and evidence-based responses to the increased availability and use of synthetic drugs and stimulants in Europe</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</si>
  <si>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</si>
  <si>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</si>
  <si>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</si>
  <si>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HORIZON-CL3-2026-01-BM-02</t>
  </si>
  <si>
    <t>Accessible and available travel facilitation</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</si>
  <si>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</si>
  <si>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HORIZON-CL3-2026-01-BM-03</t>
  </si>
  <si>
    <t>Reliability of age assessment methods in the context of security and border management</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</si>
  <si>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</si>
  <si>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HORIZON-CL3-2027-01-BM-01</t>
  </si>
  <si>
    <t>Open topic on research and innovation for effective management of EU external borders that promotes fundamental rights and EU values</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</si>
  <si>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</si>
  <si>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</si>
  <si>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</si>
  <si>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HORIZON-CL3-2027-01-BM-03</t>
  </si>
  <si>
    <t>Detection and characterisation of threats or illegal/ smuggled goods in cargo</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</si>
  <si>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</si>
  <si>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</si>
  <si>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</si>
  <si>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</si>
  <si>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HORIZON-CL3-2026-01-INFRA-02</t>
  </si>
  <si>
    <t>Security challenges of the green transition in urban und peri urban areas</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</si>
  <si>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</si>
  <si>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HORIZON-CL3-2026-01-INFRA-03</t>
  </si>
  <si>
    <t>Targeted innovative capabilities for the resilience of critical entities to natural and human-induced disasters, including hybrid scenarios</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</si>
  <si>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</si>
  <si>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HORIZON-CL3-2027-01-INFRA-01</t>
  </si>
  <si>
    <t>Enhancing physical protection of critical infrastructures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</si>
  <si>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</si>
  <si>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</si>
  <si>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HORIZON-CL3-2027-01-INFRA-02</t>
  </si>
  <si>
    <t>Impact of malicious use of Open-Source Intelligence on critical infrastructure business continuity</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</si>
  <si>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</si>
  <si>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</si>
  <si>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HORIZON-CL3-2026-01-DRS-02</t>
  </si>
  <si>
    <t>Multi-hazard approach and cumulative / cascading impacts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</si>
  <si>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</si>
  <si>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HORIZON-CL3-2026-01-DRS-03</t>
  </si>
  <si>
    <t>Development of innovative tools, processes, equipment and technologies through responses to disasters and emergencies for search and rescue in hazardous conditions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</si>
  <si>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</si>
  <si>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HORIZON-CL3-2026-01-DRS-04</t>
  </si>
  <si>
    <t>Open topic on driving innovation uptake of disaster risk solutions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</si>
  <si>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</si>
  <si>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</si>
  <si>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HORIZON-CL3-2026-01-DRS-05</t>
  </si>
  <si>
    <t>Climate security and civil preparedness – new ways to develop pre- and post-crisis climate-change related scenarios for a more resilient Europe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</si>
  <si>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</si>
  <si>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HORIZON-CL3-2027-01-DRS-01</t>
  </si>
  <si>
    <t>Open Topic on advanced protective gear optimized for CBRN-E (Chemical, Biological, Radiological, Nuclear, Explosives) environments and new generation of smart protective equipment for disaster responders</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</si>
  <si>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</si>
  <si>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HORIZON-CL3-2027-01-DRS-02</t>
  </si>
  <si>
    <t>Societal resilience, engagement of the younger generations and digital innovation for disaster resilience</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</si>
  <si>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</si>
  <si>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HORIZON-CL3-2027-01-DRS-03</t>
  </si>
  <si>
    <t>Enhancing decision support system for disaster crises: leveraging emerging technologies for improved civil preparedness and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</si>
  <si>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</si>
  <si>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HORIZON-CL3-2027-01-DRS-04</t>
  </si>
  <si>
    <t>Enhancing preparedness for large-scale cross-border disasters</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</si>
  <si>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</si>
  <si>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HORIZON-CL3-2026-01-SSRI-01</t>
  </si>
  <si>
    <t>Open topic on supporting disruptive technological innovations for civil security</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</si>
  <si>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</si>
  <si>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</si>
  <si>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</si>
  <si>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HORIZON-CL3-2026-01-SSRI-03</t>
  </si>
  <si>
    <t>Public procurement of innovation for security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</si>
  <si>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</si>
  <si>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</si>
  <si>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HORIZON-CL3-2026-01-SSRI-04</t>
  </si>
  <si>
    <t>Development of ecosystem and next-generation capabilities for a secured European Critical Communication System in civil security</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</si>
  <si>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</si>
  <si>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</si>
  <si>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HORIZON-CL3-2027-01-SSRI-01</t>
  </si>
  <si>
    <t>Accelerating uptake through open proposals for advanced SME innovation</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</si>
  <si>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</si>
  <si>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HORIZON-CL3-2027-01-SSRI-02</t>
  </si>
  <si>
    <t>Open grounds for future pre-commercial procurement of innovative security technologies</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</si>
  <si>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</si>
  <si>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HORIZON-CL3-2027-01-SSRI-03</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</si>
  <si>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</si>
  <si>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</si>
  <si>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</si>
  <si>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</si>
  <si>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</si>
  <si>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Stage 1: 17/03/2026; Stage 2: 13/10/2026</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</si>
  <si>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</si>
  <si>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</si>
  <si>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</si>
  <si>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</si>
  <si>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</si>
  <si>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</si>
  <si>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</si>
  <si>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</si>
  <si>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</si>
  <si>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</si>
  <si>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</si>
  <si>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</si>
  <si>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HORIZON-CL4-2026-01-MAT-PROD-01</t>
  </si>
  <si>
    <t>Advanced manufacturing for key products (IA)</t>
  </si>
  <si>
    <t>Production technology; Manufacturing engineering and industrial design; Engineering of polymers and plastics; Engineering of composites and hybrid materials; Mechanical engineering</t>
  </si>
  <si>
    <t>HORIZON-CL4-2027-01-MAT-PROD-02</t>
  </si>
  <si>
    <t>Manufacturing engineering and industrial design; Production technology; Thin films; Engineering of metals and alloys; Engineering of polymers and plastics</t>
  </si>
  <si>
    <t>HORIZON-CL4-2027-01-MAT-PROD-03</t>
  </si>
  <si>
    <t>Factory processes and automation for de- and re-manufacturing (RIA)</t>
  </si>
  <si>
    <t>Robotics; Computer vision; Artificial intelligence; Production technology; Process engineering</t>
  </si>
  <si>
    <t>HORIZON-CL4-2026-01-MAT-PROD-04</t>
  </si>
  <si>
    <t>Optimise the usage of resources in a circular economy (RIA)</t>
  </si>
  <si>
    <t>Environmental engineering; Recycling; Waste and water treatment; Process engineering; Production technology</t>
  </si>
  <si>
    <t>PE8 Products and Processes Engineering</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</si>
  <si>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</si>
  <si>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</si>
  <si>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</si>
  <si>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</si>
  <si>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HORIZON-CL4-2027-01-MAT-PROD-06</t>
  </si>
  <si>
    <t>Engineering of composites and hybrid materials; Engineering of polymers and plastics; Porous materials engineering; Structural properties of materials; New materials</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</si>
  <si>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</si>
  <si>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</si>
  <si>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</si>
  <si>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</si>
  <si>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</si>
  <si>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</si>
  <si>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</si>
  <si>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</si>
  <si>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</si>
  <si>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</si>
  <si>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</si>
  <si>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Stage 1: 02/02/2027; Stage 2: 02/09/2027</t>
  </si>
  <si>
    <t>HORIZON-CL4-2026-01-MAT-PROD-41</t>
  </si>
  <si>
    <t>Enhancing industry-academia knowledge exchange in Social Sciences and Humanities (SSH) (CSA)</t>
  </si>
  <si>
    <t>Social studies of science and technology; Innovation; Strategy; Research &amp; development; Management</t>
  </si>
  <si>
    <t>HORIZON-CL4-2027-01-MAT-PROD-42</t>
  </si>
  <si>
    <t>Unlocking the potential of academic intellectual assets for industry, SMEs and startups (CSA)</t>
  </si>
  <si>
    <t>Innovation; Strategy; Management; Research &amp; development; Application of mathematics in industry and society</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</si>
  <si>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</si>
  <si>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</si>
  <si>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</si>
  <si>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</si>
  <si>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</si>
  <si>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</si>
  <si>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</si>
  <si>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</si>
  <si>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HORIZON-CL4-2026-01-MAT-PROD-44</t>
  </si>
  <si>
    <t>Attracting management talent for capacity building for Technology Infrastructures staff members (CSA)</t>
  </si>
  <si>
    <t>Management; Strategy; Operations management; Innovation; Organisational behaviour</t>
  </si>
  <si>
    <t>SH1 Individuals, Markets and Organisations</t>
  </si>
  <si>
    <t>HORIZON-CL4-2026-01-MAT-PROD-45</t>
  </si>
  <si>
    <t>Pilot access schemes to Technology Infrastructures for European startups, scaleups and innovative SMEs (CSA)</t>
  </si>
  <si>
    <t>Innovation; Strategy; Management; International business; Research &amp; development</t>
  </si>
  <si>
    <t>HORIZON-CL4-2026-01-MAT-PROD-46</t>
  </si>
  <si>
    <t>Mapping and service finder for Technology Infrastructures (CSA)</t>
  </si>
  <si>
    <t>Databases; Information systems; Information retrieval; Web and information systems; Databases, web and information systems</t>
  </si>
  <si>
    <t>PE6 Computer Science and Informatics</t>
  </si>
  <si>
    <t>HORIZON-CL4-2027-01-MAT-PROD-47</t>
  </si>
  <si>
    <t>Innovation; Strategy; Research &amp; development; Management; International business</t>
  </si>
  <si>
    <t>HORIZON-CL4-2026-01-MAT-PROD-48</t>
  </si>
  <si>
    <t>‘Proof of market’ to improve valorisation and commercialisation of Horizon generated R&amp;I results (IA)</t>
  </si>
  <si>
    <t>Innovation; Strategy; Marketing; Consumer behaviour; International trade</t>
  </si>
  <si>
    <t>HORIZON-CL4-2027-01-MAT-PROD-49</t>
  </si>
  <si>
    <t>Innovation; Strategy; Marketing; Management; International business</t>
  </si>
  <si>
    <t>HORIZON-CL4-2026-01-MAT-PROD-11</t>
  </si>
  <si>
    <t>Innovative technologies and tools for exploration and data modelling of raw materials (RIA)</t>
  </si>
  <si>
    <t>Earth observations from space; Remote sensing; Terrestrial ecology; Physical geography; Geomorphology</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</si>
  <si>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</si>
  <si>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</si>
  <si>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</si>
  <si>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</si>
  <si>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HORIZON-CL4-2026-01-MAT-PROD-13</t>
  </si>
  <si>
    <t>Monitoring of secondary raw materials (CSA)</t>
  </si>
  <si>
    <t>Environmental engineering; Recycling; Waste and water treatment; Terrestrial ecology; Biogeochemistry</t>
  </si>
  <si>
    <t>PE8 Products and Processes Engineering; PE10 Earth System Science</t>
  </si>
  <si>
    <t>HORIZON-CL4-2026-01-MAT-PROD-14</t>
  </si>
  <si>
    <t>Improving availability of secondary raw materials through recycling (IA)</t>
  </si>
  <si>
    <t>Environmental engineering; Recycling; Sustainable design; Production technology; Process engineering</t>
  </si>
  <si>
    <t>HORIZON-CL4-2027-01-MAT-PROD-16</t>
  </si>
  <si>
    <t>Technologies for innovative processing of raw materials (IA)</t>
  </si>
  <si>
    <t>Production technology; Process engineering; Chemical engineering; Waste and water treatment; Environmental engineering</t>
  </si>
  <si>
    <t>HORIZON-CL4-2027-01-MAT-PROD-17</t>
  </si>
  <si>
    <t>Expert network on Critical raw materials (CSA)</t>
  </si>
  <si>
    <t>Innovation; Strategy; Research &amp; development; International business; International trade</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</si>
  <si>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</si>
  <si>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</si>
  <si>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</si>
  <si>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</si>
  <si>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</si>
  <si>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</si>
  <si>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</si>
  <si>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This action provides travel grants to European researchers to foster collaboration with Japanese institutions on innovative advanced materials. It intends to strengthen international partnerships in strategic areas like energy, electronics, and medical devices.</t>
  </si>
  <si>
    <t>This topic promotes the development of advanced manufacturing machinery to create high-performance products within Europe. It seeks to increase resource efficiency and circularity by using secondary raw materials and innovative advanced materials in production.</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</si>
  <si>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</si>
  <si>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This topic focuses on factory-level automation and AI technologies to enable the efficient disassembly and repair of products. The goal is to build a strong European remanufacturing market that restores product functions and retains material value.</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</si>
  <si>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</si>
  <si>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</si>
  <si>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</si>
  <si>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</si>
  <si>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This project focuses on reducing the costs of products made from CO2 by integrating capture and conversion processes more efficiently. It aims to use renewable energy and waste heat to lower the carbon footprint of industrial production.</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</si>
  <si>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</si>
  <si>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</si>
  <si>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</si>
  <si>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</si>
  <si>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</si>
  <si>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</si>
  <si>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</si>
  <si>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</si>
  <si>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</si>
  <si>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</si>
  <si>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</si>
  <si>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</si>
  <si>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</si>
  <si>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</si>
  <si>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</si>
  <si>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</si>
  <si>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</si>
  <si>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</si>
  <si>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</si>
  <si>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</si>
  <si>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</si>
  <si>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</si>
  <si>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</si>
  <si>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</si>
  <si>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</si>
  <si>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</si>
  <si>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</si>
  <si>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</si>
  <si>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</si>
  <si>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</si>
  <si>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</si>
  <si>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</si>
  <si>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</si>
  <si>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</si>
  <si>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</si>
  <si>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</si>
  <si>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</si>
  <si>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</si>
  <si>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</si>
  <si>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</si>
  <si>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</si>
  <si>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</si>
  <si>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</si>
  <si>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</si>
  <si>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</si>
  <si>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</si>
  <si>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</si>
  <si>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</si>
  <si>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</si>
  <si>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</si>
  <si>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</si>
  <si>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</si>
  <si>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</si>
  <si>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</si>
  <si>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</si>
  <si>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</si>
  <si>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</si>
  <si>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This project organizes multi-stage competitions to drive AI breakthroughs in strategic sectors like healthcare, manufacturing, and autonomous driving. It provides financial support to SMEs to develop and scale high-impact solutions that meet specific industry needs.</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</si>
  <si>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</si>
  <si>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</si>
  <si>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</si>
  <si>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</si>
  <si>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</si>
  <si>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</si>
  <si>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</si>
  <si>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</si>
  <si>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</si>
  <si>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</si>
  <si>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</si>
  <si>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</si>
  <si>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</si>
  <si>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HORIZON-CL4-2026-04-DIGITAL-EMERGING-08</t>
  </si>
  <si>
    <t>Apply AI: Robotics for Manufacturing: Advancing Core Skills through Technical Challenges (RIA) (Partnership in AI, Data and Robotics)</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</si>
  <si>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</si>
  <si>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</si>
  <si>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</si>
  <si>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</si>
  <si>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</si>
  <si>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</si>
  <si>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HORIZON-CL4-2027-04-DIGITAL-EMERGING-06</t>
  </si>
  <si>
    <t>International cooperation in AI (IA)</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</si>
  <si>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</si>
  <si>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</si>
  <si>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</si>
  <si>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</si>
  <si>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</si>
  <si>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</si>
  <si>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</si>
  <si>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</si>
  <si>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</si>
  <si>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</si>
  <si>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</si>
  <si>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</si>
  <si>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</si>
  <si>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</si>
  <si>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</si>
  <si>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</si>
  <si>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</si>
  <si>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</si>
  <si>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</si>
  <si>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</si>
  <si>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</si>
  <si>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</si>
  <si>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</si>
  <si>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</si>
  <si>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</si>
  <si>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</si>
  <si>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</si>
  <si>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</si>
  <si>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</si>
  <si>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</si>
  <si>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</si>
  <si>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</si>
  <si>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</si>
  <si>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</si>
  <si>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</si>
  <si>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</si>
  <si>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</si>
  <si>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</si>
  <si>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</si>
  <si>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</si>
  <si>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</si>
  <si>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</si>
  <si>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</si>
  <si>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</si>
  <si>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</si>
  <si>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</si>
  <si>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</si>
  <si>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</si>
  <si>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</si>
  <si>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</si>
  <si>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</si>
  <si>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</si>
  <si>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</si>
  <si>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</si>
  <si>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</si>
  <si>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</si>
  <si>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</si>
  <si>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</si>
  <si>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</si>
  <si>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</si>
  <si>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</si>
  <si>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</si>
  <si>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</si>
  <si>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</si>
  <si>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</si>
  <si>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</si>
  <si>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</si>
  <si>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</si>
  <si>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</si>
  <si>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</si>
  <si>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</si>
  <si>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</si>
  <si>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</si>
  <si>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</si>
  <si>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</si>
  <si>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</si>
  <si>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</si>
  <si>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</si>
  <si>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</si>
  <si>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</si>
  <si>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</si>
  <si>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</si>
  <si>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</si>
  <si>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</si>
  <si>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</si>
  <si>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</si>
  <si>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</si>
  <si>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</si>
  <si>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</si>
  <si>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</si>
  <si>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</si>
  <si>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</si>
  <si>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</si>
  <si>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</si>
  <si>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</si>
  <si>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</si>
  <si>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</si>
  <si>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</si>
  <si>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</si>
  <si>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</si>
  <si>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</si>
  <si>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</si>
  <si>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</si>
  <si>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</si>
  <si>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</si>
  <si>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</si>
  <si>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</si>
  <si>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</si>
  <si>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</si>
  <si>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</si>
  <si>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</si>
  <si>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</si>
  <si>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</si>
  <si>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</si>
  <si>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</si>
  <si>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</si>
  <si>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</si>
  <si>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</si>
  <si>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</si>
  <si>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</si>
  <si>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</si>
  <si>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</si>
  <si>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</si>
  <si>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</si>
  <si>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</si>
  <si>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</si>
  <si>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</si>
  <si>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HORIZON-CL4-2027-04-HUMAN-07</t>
  </si>
  <si>
    <t>Facilitate the engagement of European stakeholders in international digital standardisation (CSA)</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</si>
  <si>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</si>
  <si>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</si>
  <si>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</si>
  <si>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</si>
  <si>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</si>
  <si>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HORIZON-CL5-2026-07-D1-01</t>
  </si>
  <si>
    <t>Next generation climate monitoring and related capabilities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</si>
  <si>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</si>
  <si>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HORIZON-CL5-2026-07-D1-02</t>
  </si>
  <si>
    <t>Advancing European climate risk assessments</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</si>
  <si>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</si>
  <si>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HORIZON-CL5-2026-07-D1-03</t>
  </si>
  <si>
    <t>Economics of climate change and cost of inaction</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</si>
  <si>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</si>
  <si>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HORIZON-CL5-2026-07-D1-04</t>
  </si>
  <si>
    <t>Fighting disinformation and effectively communicating on climate change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</si>
  <si>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</si>
  <si>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HORIZON-CL5-2026-07-D1-05</t>
  </si>
  <si>
    <t>Improving climate and weather models for Africa</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</si>
  <si>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</si>
  <si>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HORIZON-CL5-2026-08-Two-Stage-D1-06</t>
  </si>
  <si>
    <t>Closing knowledge gaps on Earth system science in support of global and regional assessments and climate policy</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</si>
  <si>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</si>
  <si>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</si>
  <si>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HORIZON-CL5-2027-01-D1-07</t>
  </si>
  <si>
    <t>Advancing understanding, modelling and prediction of extreme events in a changing climate</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</si>
  <si>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</si>
  <si>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HORIZON-CL5-2027-01-D1-08</t>
  </si>
  <si>
    <t>Palaeoclimate science for a better understanding of Earth system dynamics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</si>
  <si>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</si>
  <si>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HORIZON-CL5-2027-01-D1-09</t>
  </si>
  <si>
    <t>Assessing the performance of policy instruments to inform climate change mitigation action</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</si>
  <si>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</si>
  <si>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HORIZON-CL5-2027-01-D1-10</t>
  </si>
  <si>
    <t>Understanding and avoiding maladaptation to climate change</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</si>
  <si>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</si>
  <si>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</si>
  <si>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HORIZON-CL5-2027-01-D1-11</t>
  </si>
  <si>
    <t>Africa-EU CO-FUND action on climate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</si>
  <si>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</si>
  <si>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</si>
  <si>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HORIZON-CL5-2027-01-D1-12</t>
  </si>
  <si>
    <t>Better understanding and attribution of land and ocean carbon sources and sinks</t>
  </si>
  <si>
    <t>This topic focuses on quantifying the mechanisms that drive carbon sources and sinks in terrestrial and oceanic ecosystems. By reconciling different emission estimates, it aims to improve climate models and inform more accurate land-based mitigation strategies.</t>
  </si>
  <si>
    <t>HORIZON-CL5-2027-01-D1-13</t>
  </si>
  <si>
    <t>Next generation scenarios for informing climate and sustainability transitions</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</si>
  <si>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</si>
  <si>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HORIZON-CL5-2026-09-D2-01</t>
  </si>
  <si>
    <t>Producing battery-grade materials for electrodes through sustainable processing and refining of raw materials or developing bio-based materials (BATT4EU Partnership)</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</si>
  <si>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</si>
  <si>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</si>
  <si>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HORIZON-CL5-2026-03-D2-02</t>
  </si>
  <si>
    <t>Development of direct recycling processes (BATT4EU Partnership)</t>
  </si>
  <si>
    <t>This research aims to create automated and efficient direct recycling methods for low-value and next-generation battery chemistries. The goal is to reduce import reliance and energy consumption by reintegrating high-purity materials directly back into manufacturing.</t>
  </si>
  <si>
    <t>HORIZON-CL5-2026-10-D2-03</t>
  </si>
  <si>
    <t>Integrated Production and Product Development for Next-Generation Lithium-based Batteries for Mobility (BATT4EU and Made in Europe Partnerships)</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</si>
  <si>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</si>
  <si>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HORIZON-CL5-2026-09-D2-04</t>
  </si>
  <si>
    <t>Coordinated topic with India on recycling of EV batteries</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</si>
  <si>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</si>
  <si>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HORIZON-CL5-2027-02-D2-05</t>
  </si>
  <si>
    <t>Improvement of Adaptability, Flexibility and Efficiency of Existing Recycling Processes (BATT4EU Partnership)</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</si>
  <si>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</si>
  <si>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HORIZON-CL5-2027-02-D2-06</t>
  </si>
  <si>
    <t>Sustainable and Competitive Cell Production Techniques for Lithium-ion And Sodium-ion Batteries (BATT4EU Partnership)</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</si>
  <si>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</si>
  <si>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HORIZON-CL5-2027-04-Two-Stage-D2-07</t>
  </si>
  <si>
    <t>Novel approaches towards next-generation battery concepts, leveraging the enabling role of innovative advanced materials (BATT4EU and IAM4EU Partnerships)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</si>
  <si>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</si>
  <si>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</si>
  <si>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HORIZON-CL5-2027-05-D2-08</t>
  </si>
  <si>
    <t>Demonstration for Long-duration Battery Energy Storage Systems (BATT4EU Partnership)</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</si>
  <si>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</si>
  <si>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HORIZON-CL5-2026-03-D3-01</t>
  </si>
  <si>
    <t>Targeting key value chain components for increasing the competitiveness of renewable energy technologies in Europe</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</si>
  <si>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</si>
  <si>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HORIZON-CL5-2026-04-Two-Stage-D3-02</t>
  </si>
  <si>
    <t>Next generation of renewable energy technologies</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</si>
  <si>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</si>
  <si>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</si>
  <si>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HORIZON-CL5-2026-09-D3-03</t>
  </si>
  <si>
    <t>Innovative technologies and solutions to improve wind energy systems supporting the Strategic Energy Technology (SET) Plan on wind</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</si>
  <si>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</si>
  <si>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HORIZON-CL5-2026-11-D3-04</t>
  </si>
  <si>
    <t>De-risking renewable fuel technologies through transnational pre-commercial procurement of renewable fuel industrial value chains</t>
  </si>
  <si>
    <t>This action uses joint public procurement to lower the financial risks associated with scaling up advanced biofuel and synthetic fuel production. It intends to establish robust industrial value chains that can provide commercial-scale renewable fuels by 2030.</t>
  </si>
  <si>
    <t>HORIZON-CL5-2026-11-D3-05</t>
  </si>
  <si>
    <t>Demonstration of solid biofuel supply and conversion to high efficiency CHP from fully sustainable regional value chains</t>
  </si>
  <si>
    <t>This project demonstrates regional value chains that convert sustainable wood and agricultural waste into high-efficiency heat and power. The goal is to provide renewable energy for local industries while ensuring the protection of soil health and biodiversity.</t>
  </si>
  <si>
    <t>HORIZON-CL5-2026-11-D3-06</t>
  </si>
  <si>
    <t>Resource assessment for deep sedimentary and basement reservoirs</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</si>
  <si>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</si>
  <si>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HORIZON-CL5-2027-02-D3-07</t>
  </si>
  <si>
    <t>Concentrated solar thermal systems for decarbonising industrial processes</t>
  </si>
  <si>
    <t>This topic focuses on demonstrating concentrated solar thermal systems that provide high-temperature heat for industrial tasks like drying or melting. It aims to prove the economic viability of solar heat storage to reduce industrial reliance on fossil fuels.</t>
  </si>
  <si>
    <t>HORIZON-CL5-2027-02-D3-08</t>
  </si>
  <si>
    <t>Co-funding Strategic Energy Technology (SET) Plan renewable fuel value chains at EU, national, regional, and local level</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</si>
  <si>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</si>
  <si>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HORIZON-CL5-2027-02-D3-09</t>
  </si>
  <si>
    <t>Innovative technologies and solutions to improve wave and tidal energy systems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</si>
  <si>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</si>
  <si>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HORIZON-CL5-2027-02-D3-10</t>
  </si>
  <si>
    <t>Renewable Energy Valleys in Africa to increase energy security and energy access in Africa</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</si>
  <si>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</si>
  <si>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HORIZON-CL5-2027-07-D3-11</t>
  </si>
  <si>
    <t>Demonstration of hydropower technologies for efficient and forward-looking refurbishment of existing hydropower plants</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</si>
  <si>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</si>
  <si>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HORIZON-CL5-2026-03-D3-12</t>
  </si>
  <si>
    <t>Long-lifetime and optimised use of materials in recyclable Ag and In-free Si PV modules (EUPI-PV Partnership)</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</si>
  <si>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</si>
  <si>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</si>
  <si>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HORIZON-CL5-2026-03-D3-13</t>
  </si>
  <si>
    <t>Industrial scale up and circularity pathway for IPV technologies (EUPI-PV Partnership)</t>
  </si>
  <si>
    <t>The goal is to scale up manufacturing for integrated photovoltaics, such as solar panels built into buildings, cars, or floating systems. It aims to develop flexible pilot production lines and dedicated recycling processes for these non-standard solar products.</t>
  </si>
  <si>
    <t>HORIZON-CL5-2026-11-D3-14</t>
  </si>
  <si>
    <t>Improved system design for innovative PV applications (EUPI-PV Partnership)</t>
  </si>
  <si>
    <t>This research demonstrates large-scale solar systems that coexist with agriculture or are installed in marine environments. It focuses on advanced system architectures that protect biodiversity and withstand climate impacts while lowering the cost of electricity.</t>
  </si>
  <si>
    <t>HORIZON-CL5-2027-02-D3-15</t>
  </si>
  <si>
    <t>Production technologies for solar photovoltaics beyond the state-of-the-art (EUPI-PV Partnership)</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</si>
  <si>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</si>
  <si>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HORIZON-CL5-2027-07-D3-16</t>
  </si>
  <si>
    <t>Industrial processes and equipment for innovative, reliable and scalable tandem technologies (EUPI-PV Partnership)</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</si>
  <si>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</si>
  <si>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HORIZON-CL5-2027-07-D3-17</t>
  </si>
  <si>
    <t>PV based electrification of the economy: Designing &amp; optimising PV systems supporting industrial electrification and promoting participation in electricity markets (EUPI-PV Partnership)</t>
  </si>
  <si>
    <t>This project designs high-voltage solar architectures to power industrial sites and participate in grid balancing services. It aims to improve the profitability of solar assets by managing negative electricity prices and supporting deep industrial electrification.</t>
  </si>
  <si>
    <t>HORIZON-CL5-2026-03-D3-18</t>
  </si>
  <si>
    <t>Grid-forming capabilities for more resilient and RES-based electricity grids</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</si>
  <si>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</si>
  <si>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</si>
  <si>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HORIZON-CL5-2026-03-D3-19</t>
  </si>
  <si>
    <t>Affordable and sustainable primary equipment for Future-Ready multi-terminal HVDC Systems</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</si>
  <si>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</si>
  <si>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HORIZON-CL5-2026-03-D3-20</t>
  </si>
  <si>
    <t>Hybrid AI-Control Framework for a next-generation grid-scale energy storage and system integration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</si>
  <si>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</si>
  <si>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HORIZON-CL5-2026-03-D3-21</t>
  </si>
  <si>
    <t>Novel solutions for off-grid storage of renewable energy for critical infrastructures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</si>
  <si>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</si>
  <si>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HORIZON-CL5-2026-03-D3-22</t>
  </si>
  <si>
    <t>AI-driven forecasting algorithms for Grid and Consumer friendly Energy Sharing – Societal Readiness pilot</t>
  </si>
  <si>
    <t>This pilot project uses AI to optimize energy sharing and self-consumption within local communities to reduce grid burdens. It includes a strong focus on understanding societal needs to ensure that decentralized energy systems are trusted and inclusive.</t>
  </si>
  <si>
    <t>HORIZON-CL5-2026-11-D3-23</t>
  </si>
  <si>
    <t>Data sharing to support the training and development of AI foundation models in the energy sector</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</si>
  <si>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</si>
  <si>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HORIZON-CL5-2027-02-D3-24</t>
  </si>
  <si>
    <t>Large scale operational validation and upscaling of state-of-the-art (Generative) AI tools and models powering a next generation digital energy system</t>
  </si>
  <si>
    <t>The project will validate secure and energy-efficient generative AI tools for real-time grid monitoring and consumer empowerment. It aims to demonstrate a digital "spine" for the energy system that enables coordinated learning across decentralized edge nodes.</t>
  </si>
  <si>
    <t>HORIZON-CL5-2027-07-D3-25</t>
  </si>
  <si>
    <t>Advanced TSO control rooms to enhance grid observability, stability and resilience</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</si>
  <si>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</si>
  <si>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HORIZON-CL5-2027-07-D3-26</t>
  </si>
  <si>
    <t>Advanced Distribution Management Systems (ADSM) for more efficient and flexible distribution grids</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</si>
  <si>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</si>
  <si>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HORIZON-CL5-2027-07-D3-27</t>
  </si>
  <si>
    <t>Integrated Approaches for Retrofitting Infrastructures with Innovative Energy Storage Technologies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</si>
  <si>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</si>
  <si>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HORIZON-CL5-2027-07-D3-28</t>
  </si>
  <si>
    <t>Community of practice - Data-Driven Decision-Making in Energy</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</si>
  <si>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</si>
  <si>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HORIZON-CL5-2026-03-D3-29</t>
  </si>
  <si>
    <t>Pre-commercial appraisal for CO2 aquifer storage</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</si>
  <si>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</si>
  <si>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HORIZON-CL5-2027-02-D3-30</t>
  </si>
  <si>
    <t>Advancements in Direct Air Capture</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</si>
  <si>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</si>
  <si>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HORIZON-CL5-2027-02-D3-31</t>
  </si>
  <si>
    <t>Support to the implementation of an EU policy framework for CO2 transport and storage infrastructure</t>
  </si>
  <si>
    <t>This action assists stakeholders in preparing for new European laws regarding CO2 transport networks and storage liability. It includes reviewing the technical feasibility and business models for repurposing existing pipelines for carbon transport.</t>
  </si>
  <si>
    <t>HORIZON-CL5-2027-07-D3-32</t>
  </si>
  <si>
    <t>Delivery of industrial CCUS clusters – Societal Readiness pilot</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</si>
  <si>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</si>
  <si>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</si>
  <si>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HORIZON-CL5-2026-09-D4-01</t>
  </si>
  <si>
    <t>Researching the technical, social &amp; economic factors impacting the energy performance of Smart Buildings (Built4People Partnership)</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</si>
  <si>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</si>
  <si>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HORIZON-CL5-2026-09-D4-02</t>
  </si>
  <si>
    <t>Low disturbance prefabrication approaches for deep renovation of multi-storey buildings (Built4People Partnership)</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</si>
  <si>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</si>
  <si>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HORIZON-CL5-2026-09-D4-03</t>
  </si>
  <si>
    <t>Advanced data platforms to integrate whole life carbon in building information tools, assessments, and certification (Built4People Partnership)</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</si>
  <si>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</si>
  <si>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HORIZON-CL5-2026-09-D4-04</t>
  </si>
  <si>
    <t>Validating policies and business models for affordable and sustainable housing (Built4People Partnership)</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</si>
  <si>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</si>
  <si>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HORIZON-CL5-2027-05-D4-05</t>
  </si>
  <si>
    <t>On-site robotic and automated techniques for building renovation and new construction</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</si>
  <si>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</si>
  <si>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HORIZON-CL5-2027-05-D4-06</t>
  </si>
  <si>
    <t>Thermal energy optimisation and waste heat recovery of high energy demand IT rooms in buildings or small edge data centres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</si>
  <si>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</si>
  <si>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HORIZON-CL5-2027-05-D4-07</t>
  </si>
  <si>
    <t>Integrating circularity in LCA-based modelling frameworks for renovation of buildings (Built4People Partnership)</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</si>
  <si>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</si>
  <si>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HORIZON-CL5-2026-09-D4-08</t>
  </si>
  <si>
    <t>Full-scale demonstration of heat upgrade solutions in industrial processes</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</si>
  <si>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</si>
  <si>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HORIZON-CL5-2027-05-D4-09</t>
  </si>
  <si>
    <t>Demonstration of industrial excess/waste heat conversion to mechanical or electrical power</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</si>
  <si>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</si>
  <si>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HORIZON-CL5-2026-05-D5-01</t>
  </si>
  <si>
    <t>Large-scale demonstration of Heavy-Duty Battery Electric Vehicles (HD BEV) towards long-haul logistics operations (2ZERO Partnership)</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</si>
  <si>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</si>
  <si>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HORIZON-CL5-2026-05-D5-02</t>
  </si>
  <si>
    <t>Energy-efficient software-defined EVs (2ZERO Partnership)</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</si>
  <si>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</si>
  <si>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HORIZON-CL5-2027-03-D5-03</t>
  </si>
  <si>
    <t>Data-driven circular economy for e-mobility ecosystem (2ZERO Partnership)</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</si>
  <si>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</si>
  <si>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HORIZON-CL5-2027-03-D5-04</t>
  </si>
  <si>
    <t>Demonstration of zero emission coaches and buses in long distance operations (2ZERO Partnership)</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</si>
  <si>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</si>
  <si>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HORIZON-CL5-2027-03-D5-05</t>
  </si>
  <si>
    <t>Higher Voltage, Megawatt Charging System compatible, modular powertrain for Heavy Duty Vehicles (HDV) (2ZERO Partnership)</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</si>
  <si>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</si>
  <si>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HORIZON-CL5-2027-03-D5-06</t>
  </si>
  <si>
    <t>Fire prevention and mitigation for EVs in confined areas (2ZERO Partnership)</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</si>
  <si>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</si>
  <si>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HORIZON-CL5-2026-05-D5-07</t>
  </si>
  <si>
    <t>AI-assisted digital aircraft design, manufacturing and MRO, towards a competitive aviation</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</si>
  <si>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</si>
  <si>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HORIZON-CL5-2027-03-D5-08</t>
  </si>
  <si>
    <t>Sustainable aircraft circular design and additive manufacturing, towards a climate neutral aviation</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</si>
  <si>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</si>
  <si>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HORIZON-CL5-2027-04-Two-Stage-D5-09</t>
  </si>
  <si>
    <t>Noise reduction breakthroughs for new ultraefficient aircraft</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</si>
  <si>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</si>
  <si>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</si>
  <si>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HORIZON-CL5-2026-06-Two-Stage-D5-10</t>
  </si>
  <si>
    <t>Disruptive Technologies and Innovative Concepts for Energy Saving Onboard of long-distance ships (ZEWT Partnership)</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</si>
  <si>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</si>
  <si>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</si>
  <si>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HORIZON-CL5-2026-05-D5-11</t>
  </si>
  <si>
    <t>Ports of the future (ZEWT Partnership)</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</si>
  <si>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</si>
  <si>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HORIZON-CL5-2026-05-D5-12</t>
  </si>
  <si>
    <t>Shipyards of the future (ZEWT Partnership)</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</si>
  <si>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</si>
  <si>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HORIZON-CL5-2026-05-D5-13</t>
  </si>
  <si>
    <t>Safety of renewable low and zero-carbon waterborne fuels in port areas: risk assessment, regulatory framework, and guidelines for safe bunkering, handling and storage (ZEWT partnership)</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</si>
  <si>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</si>
  <si>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HORIZON-CL5-2027-03-D5-14</t>
  </si>
  <si>
    <t>Onboard renewable energy solutions and energy saving measures to reduce the fuel consumption of ships by at least 55% (ZEWT Partnership)</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</si>
  <si>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</si>
  <si>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HORIZON-CL5-2027-03-D5-15</t>
  </si>
  <si>
    <t>Prospective evaluation of nuclear power potential for shipping (ZEWT Partnership)</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</si>
  <si>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</si>
  <si>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</si>
  <si>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HORIZON-CL5-2027-03-D5-16</t>
  </si>
  <si>
    <t>Autonomous vessels in short sea shipping and inland waterways</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</si>
  <si>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</si>
  <si>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HORIZON-CL5-2027-03-D5-17</t>
  </si>
  <si>
    <t>Innovative Solutions for mitigating the environmental impact of waterborne transport in marine and aquatic Ecosystems (ZEWT Partnership)</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</si>
  <si>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</si>
  <si>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HORIZON-CL5-2027-03-D5-18</t>
  </si>
  <si>
    <t>Enhanced electric operation and battery durability (ZEWT Partnership)</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</si>
  <si>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</si>
  <si>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HORIZON-CL5-2026-06-Two-Stage-D5-19</t>
  </si>
  <si>
    <t>Non-exhaust emissions in road and railway transport</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</si>
  <si>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</si>
  <si>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</si>
  <si>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HORIZON-CL5-2027-03-D5-20</t>
  </si>
  <si>
    <t>Assessing the effect of airport operations on air quality and noise in nearby communities</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</si>
  <si>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</si>
  <si>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HORIZON-CL5-2026-10-D6-01</t>
  </si>
  <si>
    <t>Flagship-pilot: large-scale demonstrations of CCAM (CCAM Partnership)</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</si>
  <si>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</si>
  <si>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HORIZON-CL5-2026-10-D6-02</t>
  </si>
  <si>
    <t>Geopolitical competition and socioeconomic resilience in CCAM: an innovation and policy roadmap for EU leadership (CCAM Partnership)</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</si>
  <si>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</si>
  <si>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HORIZON-CL5-2026-10-D6-03</t>
  </si>
  <si>
    <t>Generative AI for smarter CCAM: enhancing perception, decision-making, and validation (CCAM Partnership)</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</si>
  <si>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</si>
  <si>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HORIZON-CL5-2027-06-D6-04</t>
  </si>
  <si>
    <t>Holistic solutions for CCAM integration in critical scenarios (CCAM Partnership)</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</si>
  <si>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</si>
  <si>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HORIZON-CL5-2027-06-D6-05</t>
  </si>
  <si>
    <t>European CCAM knowledge hub and tools for safe and scalable deployment (CCAM Partnership)</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</si>
  <si>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</si>
  <si>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HORIZON-CL5-2026-10-D6-06</t>
  </si>
  <si>
    <t>Increasing competitiveness and resilience of multimodal freight transport and logistics for competitive supply chains</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</si>
  <si>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</si>
  <si>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HORIZON-CL5-2026-10-D6-07</t>
  </si>
  <si>
    <t>Supporting sustainable and smart urban mobility in Europe (CIVITAS)</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</si>
  <si>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</si>
  <si>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HORIZON-CL5-2027-06-D6-08</t>
  </si>
  <si>
    <t>Enhancing Mobility for All: affordable, reliable, and accessible multimodal transport for inclusive rural and urban connectivity – Societal Readiness pilot</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</si>
  <si>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</si>
  <si>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HORIZON-CL5-2026-10-D6-09</t>
  </si>
  <si>
    <t>Road Safety and resilience of rural areas</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</si>
  <si>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</si>
  <si>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HORIZON-CL5-2026-10-D6-10</t>
  </si>
  <si>
    <t>Enhanced resilience in multimodal passenger transport through digital technologies and generative and discriminative AI</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</si>
  <si>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</si>
  <si>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HORIZON-CL5-2027-06-D6-11</t>
  </si>
  <si>
    <t>Enhancing Resilience and Accuracy in Positioning, Navigation, and Timing (PNT) Systems and e-conspicuity solutions</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</si>
  <si>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</si>
  <si>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HORIZON-CL5-2027-06-D6-12</t>
  </si>
  <si>
    <t>Support for dissemination events in the field of Transport Research</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</si>
  <si>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</si>
  <si>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Health</t>
  </si>
  <si>
    <t xml:space="preserve">Culture, Creativity and Inclusive Society </t>
  </si>
  <si>
    <t xml:space="preserve">Civil Security for Society </t>
  </si>
  <si>
    <t xml:space="preserve">Digital, Industry and Space </t>
  </si>
  <si>
    <t xml:space="preserve">Climate, Energy and Mobility </t>
  </si>
  <si>
    <t xml:space="preserve">Food, Bioeconomy, Natural Resources, Agriculture and Environment </t>
  </si>
  <si>
    <t>LS1 Molecules of Life: Biological Mechanisms, Structures and Functions; LS6 Immunity, Infection and Immunotherapy</t>
  </si>
  <si>
    <t>LS1 Molecules of Life: Biological Mechanisms, Structures and Functions; LS9 Biotechnology and Biosystems Engineering</t>
  </si>
  <si>
    <t>LS6 Immunity, Infection and Immunotherapy; LS1 Molecules of Life: Biological Mechanisms, Structures and Functions</t>
  </si>
  <si>
    <t>Expected Outcomes</t>
  </si>
  <si>
    <t>Scope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</si>
  <si>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</si>
  <si>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</si>
  <si>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</si>
  <si>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</si>
  <si>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</si>
  <si>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</si>
  <si>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</si>
  <si>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</si>
  <si>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</si>
  <si>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</si>
  <si>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</si>
  <si>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</si>
  <si>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</si>
  <si>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</si>
  <si>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</si>
  <si>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</si>
  <si>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</si>
  <si>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</si>
  <si>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</si>
  <si>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</si>
  <si>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</si>
  <si>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</si>
  <si>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</si>
  <si>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</si>
  <si>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</si>
  <si>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</si>
  <si>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</si>
  <si>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</si>
  <si>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</si>
  <si>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</si>
  <si>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</si>
  <si>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</si>
  <si>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</si>
  <si>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</si>
  <si>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</si>
  <si>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</si>
  <si>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</si>
  <si>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</si>
  <si>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</si>
  <si>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</si>
  <si>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</si>
  <si>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</si>
  <si>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</si>
  <si>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</si>
  <si>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</si>
  <si>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</si>
  <si>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</si>
  <si>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</si>
  <si>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</si>
  <si>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</si>
  <si>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</si>
  <si>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</si>
  <si>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</si>
  <si>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</si>
  <si>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</si>
  <si>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</si>
  <si>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</si>
  <si>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</si>
  <si>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</si>
  <si>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</si>
  <si>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</si>
  <si>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</si>
  <si>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</si>
  <si>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</si>
  <si>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</si>
  <si>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</si>
  <si>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</si>
  <si>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</si>
  <si>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</si>
  <si>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</si>
  <si>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</si>
  <si>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</si>
  <si>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</si>
  <si>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</si>
  <si>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</si>
  <si>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</si>
  <si>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</si>
  <si>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</si>
  <si>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</si>
  <si>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</si>
  <si>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</si>
  <si>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</si>
  <si>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</si>
  <si>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</si>
  <si>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</si>
  <si>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</si>
  <si>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</si>
  <si>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</si>
  <si>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</si>
  <si>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</si>
  <si>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</si>
  <si>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</si>
  <si>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</si>
  <si>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</si>
  <si>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</si>
  <si>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</si>
  <si>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</si>
  <si>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</si>
  <si>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</si>
  <si>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</si>
  <si>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</si>
  <si>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</si>
  <si>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</si>
  <si>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</si>
  <si>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</si>
  <si>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</si>
  <si>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</si>
  <si>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</si>
  <si>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</si>
  <si>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</si>
  <si>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</si>
  <si>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</si>
  <si>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</si>
  <si>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</si>
  <si>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</si>
  <si>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</si>
  <si>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</si>
  <si>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</si>
  <si>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</si>
  <si>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</si>
  <si>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</si>
  <si>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</si>
  <si>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</si>
  <si>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</si>
  <si>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</si>
  <si>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</si>
  <si>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</si>
  <si>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</si>
  <si>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</si>
  <si>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</si>
  <si>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</si>
  <si>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</si>
  <si>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</si>
  <si>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</si>
  <si>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</si>
  <si>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</si>
  <si>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</si>
  <si>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</si>
  <si>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</si>
  <si>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</si>
  <si>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</si>
  <si>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</si>
  <si>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</si>
  <si>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</si>
  <si>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</si>
  <si>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</si>
  <si>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</si>
  <si>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</si>
  <si>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</si>
  <si>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</si>
  <si>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</si>
  <si>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</si>
  <si>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</si>
  <si>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</si>
  <si>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</si>
  <si>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</si>
  <si>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</si>
  <si>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</si>
  <si>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</si>
  <si>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</si>
  <si>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</si>
  <si>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</si>
  <si>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</si>
  <si>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</si>
  <si>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</si>
  <si>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</si>
  <si>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</si>
  <si>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</si>
  <si>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</si>
  <si>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</si>
  <si>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</si>
  <si>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</si>
  <si>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</si>
  <si>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Approaches and tools for security in software and hardware development and assessment</t>
  </si>
  <si>
    <t>Hardware security, Software supply chain, Trusted chips, Vulnerability detection, Security-by-design</t>
  </si>
  <si>
    <t>Securing the software and hardware development lifecycle through trusted chip architectures, tamper-resistant designs, and automated software vulnerability patching.</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</si>
  <si>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</si>
  <si>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</si>
  <si>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</si>
  <si>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</si>
  <si>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</si>
  <si>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</si>
  <si>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</si>
  <si>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</si>
  <si>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</si>
  <si>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</si>
  <si>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</si>
  <si>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</si>
  <si>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</si>
  <si>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</si>
  <si>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</si>
  <si>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</si>
  <si>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</si>
  <si>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</si>
  <si>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</si>
  <si>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</si>
  <si>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</si>
  <si>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</si>
  <si>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</si>
  <si>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</si>
  <si>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</si>
  <si>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</si>
  <si>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</si>
  <si>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</si>
  <si>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</si>
  <si>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</si>
  <si>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</si>
  <si>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</si>
  <si>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</si>
  <si>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</si>
  <si>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</si>
  <si>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</si>
  <si>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</si>
  <si>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</si>
  <si>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</si>
  <si>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</si>
  <si>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</si>
  <si>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</si>
  <si>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</si>
  <si>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</si>
  <si>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</si>
  <si>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</si>
  <si>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</si>
  <si>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</si>
  <si>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</si>
  <si>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</si>
  <si>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</si>
  <si>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</si>
  <si>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</si>
  <si>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</si>
  <si>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</si>
  <si>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</si>
  <si>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</si>
  <si>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</si>
  <si>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</si>
  <si>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</si>
  <si>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</si>
  <si>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</si>
  <si>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</si>
  <si>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</si>
  <si>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</si>
  <si>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</si>
  <si>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</si>
  <si>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</si>
  <si>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</si>
  <si>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</si>
  <si>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</si>
  <si>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</si>
  <si>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</si>
  <si>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</si>
  <si>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</si>
  <si>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</si>
  <si>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</si>
  <si>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</si>
  <si>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</si>
  <si>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</si>
  <si>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</si>
  <si>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</si>
  <si>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</si>
  <si>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</si>
  <si>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</si>
  <si>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</si>
  <si>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</si>
  <si>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</si>
  <si>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</si>
  <si>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</si>
  <si>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</si>
  <si>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</si>
  <si>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</si>
  <si>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</si>
  <si>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</si>
  <si>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</si>
  <si>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</si>
  <si>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</si>
  <si>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</si>
  <si>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</si>
  <si>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</si>
  <si>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</si>
  <si>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</si>
  <si>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</si>
  <si>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</si>
  <si>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</si>
  <si>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</si>
  <si>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</si>
  <si>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</si>
  <si>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</si>
  <si>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</si>
  <si>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</si>
  <si>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</si>
  <si>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</si>
  <si>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</si>
  <si>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</si>
  <si>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</si>
  <si>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</si>
  <si>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</si>
  <si>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</si>
  <si>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</si>
  <si>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</si>
  <si>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</si>
  <si>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</si>
  <si>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</si>
  <si>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</si>
  <si>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</si>
  <si>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</si>
  <si>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</si>
  <si>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</si>
  <si>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</si>
  <si>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</si>
  <si>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</si>
  <si>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</si>
  <si>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</si>
  <si>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</si>
  <si>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</si>
  <si>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</si>
  <si>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</si>
  <si>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</si>
  <si>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</si>
  <si>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</si>
  <si>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</si>
  <si>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</si>
  <si>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</si>
  <si>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</si>
  <si>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</si>
  <si>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</si>
  <si>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</si>
  <si>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</si>
  <si>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</si>
  <si>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</si>
  <si>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</si>
  <si>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</si>
  <si>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</si>
  <si>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</si>
  <si>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</si>
  <si>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</si>
  <si>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</si>
  <si>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</si>
  <si>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</si>
  <si>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</si>
  <si>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</si>
  <si>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</si>
  <si>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</si>
  <si>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</si>
  <si>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</si>
  <si>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</si>
  <si>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</si>
  <si>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</si>
  <si>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</si>
  <si>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</si>
  <si>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</si>
  <si>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</si>
  <si>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</si>
  <si>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</si>
  <si>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</si>
  <si>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</si>
  <si>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</si>
  <si>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</si>
  <si>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</si>
  <si>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</si>
  <si>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</si>
  <si>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</si>
  <si>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</si>
  <si>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</si>
  <si>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</si>
  <si>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</si>
  <si>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</si>
  <si>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</si>
  <si>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</si>
  <si>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</si>
  <si>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</si>
  <si>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</si>
  <si>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</si>
  <si>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</si>
  <si>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</si>
  <si>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</si>
  <si>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</si>
  <si>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</si>
  <si>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</si>
  <si>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</si>
  <si>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</si>
  <si>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</si>
  <si>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</si>
  <si>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</si>
  <si>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</si>
  <si>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</si>
  <si>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</si>
  <si>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</si>
  <si>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</si>
  <si>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</si>
  <si>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</si>
  <si>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</si>
  <si>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</si>
  <si>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</si>
  <si>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</si>
  <si>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</si>
  <si>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</si>
  <si>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</si>
  <si>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</si>
  <si>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</si>
  <si>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</si>
  <si>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</si>
  <si>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</si>
  <si>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</si>
  <si>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</si>
  <si>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</si>
  <si>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</si>
  <si>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</si>
  <si>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</si>
  <si>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</si>
  <si>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</si>
  <si>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</si>
  <si>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</si>
  <si>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</si>
  <si>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</si>
  <si>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</si>
  <si>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</si>
  <si>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</si>
  <si>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</si>
  <si>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</si>
  <si>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</si>
  <si>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</si>
  <si>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</si>
  <si>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</si>
  <si>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</si>
  <si>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</si>
  <si>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</si>
  <si>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</si>
  <si>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</si>
  <si>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</si>
  <si>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</si>
  <si>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</si>
  <si>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</si>
  <si>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</si>
  <si>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</si>
  <si>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</si>
  <si>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</si>
  <si>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</si>
  <si>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</si>
  <si>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</si>
  <si>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</si>
  <si>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</si>
  <si>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</si>
  <si>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</si>
  <si>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</si>
  <si>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</si>
  <si>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</si>
  <si>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</si>
  <si>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</si>
  <si>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</si>
  <si>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</si>
  <si>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</si>
  <si>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</si>
  <si>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</si>
  <si>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</si>
  <si>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</si>
  <si>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</si>
  <si>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</si>
  <si>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</si>
  <si>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</si>
  <si>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</si>
  <si>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</si>
  <si>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</si>
  <si>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</si>
  <si>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</si>
  <si>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</si>
  <si>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</si>
  <si>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</si>
  <si>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</si>
  <si>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</si>
  <si>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</si>
  <si>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</si>
  <si>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</si>
  <si>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</si>
  <si>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</si>
  <si>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</si>
  <si>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</si>
  <si>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</si>
  <si>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</si>
  <si>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</si>
  <si>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</si>
  <si>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</si>
  <si>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</si>
  <si>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</si>
  <si>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</si>
  <si>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</si>
  <si>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</si>
  <si>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</si>
  <si>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</si>
  <si>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</si>
  <si>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</si>
  <si>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</si>
  <si>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</si>
  <si>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</si>
  <si>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</si>
  <si>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</si>
  <si>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</si>
  <si>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</si>
  <si>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</si>
  <si>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</si>
  <si>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</si>
  <si>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</si>
  <si>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</si>
  <si>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</si>
  <si>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</si>
  <si>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</si>
  <si>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</si>
  <si>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</si>
  <si>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</si>
  <si>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</si>
  <si>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</si>
  <si>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</si>
  <si>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</si>
  <si>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</si>
  <si>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</si>
  <si>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</si>
  <si>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</si>
  <si>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</si>
  <si>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</si>
  <si>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</si>
  <si>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</si>
  <si>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</si>
  <si>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</si>
  <si>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</si>
  <si>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</si>
  <si>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</si>
  <si>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</si>
  <si>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</si>
  <si>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</si>
  <si>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</si>
  <si>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</si>
  <si>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</si>
  <si>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</si>
  <si>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</si>
  <si>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</si>
  <si>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</si>
  <si>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</si>
  <si>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</si>
  <si>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</si>
  <si>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</si>
  <si>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</si>
  <si>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</si>
  <si>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</si>
  <si>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</si>
  <si>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</si>
  <si>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</si>
  <si>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</si>
  <si>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</si>
  <si>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</si>
  <si>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</si>
  <si>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</si>
  <si>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</si>
  <si>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</si>
  <si>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</si>
  <si>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</si>
  <si>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</si>
  <si>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</si>
  <si>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</si>
  <si>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</si>
  <si>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</si>
  <si>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</si>
  <si>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</si>
  <si>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</si>
  <si>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</si>
  <si>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</si>
  <si>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</si>
  <si>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</si>
  <si>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</si>
  <si>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</si>
  <si>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</si>
  <si>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</si>
  <si>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</si>
  <si>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</si>
  <si>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</si>
  <si>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</si>
  <si>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</si>
  <si>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</si>
  <si>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</si>
  <si>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</si>
  <si>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</si>
  <si>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</si>
  <si>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</si>
  <si>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</si>
  <si>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</si>
  <si>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</si>
  <si>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</si>
  <si>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</si>
  <si>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</si>
  <si>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</si>
  <si>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</si>
  <si>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</si>
  <si>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</si>
  <si>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</si>
  <si>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</si>
  <si>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</si>
  <si>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</si>
  <si>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</si>
  <si>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</si>
  <si>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</si>
  <si>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</si>
  <si>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</si>
  <si>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</si>
  <si>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</si>
  <si>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</si>
  <si>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</si>
  <si>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</si>
  <si>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</si>
  <si>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</si>
  <si>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</si>
  <si>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</si>
  <si>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</si>
  <si>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</si>
  <si>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</si>
  <si>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</si>
  <si>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</si>
  <si>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</si>
  <si>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</si>
  <si>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</si>
  <si>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</si>
  <si>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</si>
  <si>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</si>
  <si>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</si>
  <si>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</si>
  <si>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</si>
  <si>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</si>
  <si>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</si>
  <si>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</si>
  <si>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</si>
  <si>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</si>
  <si>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</si>
  <si>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</si>
  <si>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</si>
  <si>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</si>
  <si>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</si>
  <si>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</si>
  <si>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</si>
  <si>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</si>
  <si>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</si>
  <si>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</si>
  <si>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</si>
  <si>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</si>
  <si>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</si>
  <si>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</si>
  <si>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</si>
  <si>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</si>
  <si>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</si>
  <si>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</si>
  <si>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</si>
  <si>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</si>
  <si>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</si>
  <si>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</si>
  <si>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</si>
  <si>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</si>
  <si>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</si>
  <si>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</si>
  <si>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</si>
  <si>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</si>
  <si>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</si>
  <si>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</si>
  <si>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</si>
  <si>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</si>
  <si>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</si>
  <si>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</si>
  <si>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</si>
  <si>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</si>
  <si>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</si>
  <si>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</si>
  <si>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</si>
  <si>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</si>
  <si>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</si>
  <si>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</si>
  <si>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</si>
  <si>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</si>
  <si>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</si>
  <si>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</si>
  <si>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</si>
  <si>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</si>
  <si>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</si>
  <si>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</si>
  <si>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</si>
  <si>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</si>
  <si>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</si>
  <si>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</si>
  <si>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</si>
  <si>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</si>
  <si>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</si>
  <si>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</si>
  <si>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</si>
  <si>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</si>
  <si>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</si>
  <si>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</si>
  <si>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</si>
  <si>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</si>
  <si>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</si>
  <si>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</si>
  <si>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</si>
  <si>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</si>
  <si>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</si>
  <si>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</si>
  <si>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</si>
  <si>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</si>
  <si>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</si>
  <si>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</si>
  <si>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</si>
  <si>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</si>
  <si>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</si>
  <si>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</si>
  <si>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</si>
  <si>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</si>
  <si>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</si>
  <si>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</si>
  <si>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</si>
  <si>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</si>
  <si>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</si>
  <si>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</si>
  <si>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</si>
  <si>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</si>
  <si>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</si>
  <si>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</si>
  <si>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</si>
  <si>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</si>
  <si>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</si>
  <si>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</si>
  <si>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</si>
  <si>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</si>
  <si>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</si>
  <si>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</si>
  <si>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</si>
  <si>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</si>
  <si>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</si>
  <si>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</si>
  <si>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</si>
  <si>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</si>
  <si>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</si>
  <si>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</si>
  <si>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</si>
  <si>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</si>
  <si>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</si>
  <si>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</si>
  <si>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</si>
  <si>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</si>
  <si>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</si>
  <si>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</si>
  <si>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</si>
  <si>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</si>
  <si>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</si>
  <si>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</si>
  <si>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</si>
  <si>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</si>
  <si>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</si>
  <si>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</si>
  <si>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</si>
  <si>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</si>
  <si>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</si>
  <si>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</si>
  <si>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</si>
  <si>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</si>
  <si>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</si>
  <si>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</si>
  <si>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</si>
  <si>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</si>
  <si>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</si>
  <si>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</si>
  <si>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</si>
  <si>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</si>
  <si>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</si>
  <si>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</si>
  <si>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</si>
  <si>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</si>
  <si>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</si>
  <si>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</si>
  <si>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</si>
  <si>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</si>
  <si>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</si>
  <si>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</si>
  <si>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</si>
  <si>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</si>
  <si>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</si>
  <si>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</si>
  <si>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</si>
  <si>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</si>
  <si>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</si>
  <si>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</si>
  <si>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</si>
  <si>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</si>
  <si>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</si>
  <si>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</si>
  <si>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</si>
  <si>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</si>
  <si>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</si>
  <si>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</si>
  <si>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</si>
  <si>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</si>
  <si>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</si>
  <si>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</si>
  <si>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</si>
  <si>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</si>
  <si>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</si>
  <si>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</si>
  <si>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</si>
  <si>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</si>
  <si>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</si>
  <si>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</si>
  <si>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</si>
  <si>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</si>
  <si>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</si>
  <si>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</si>
  <si>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</si>
  <si>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</si>
  <si>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</si>
  <si>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</si>
  <si>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</si>
  <si>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</si>
  <si>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</si>
  <si>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</si>
  <si>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</si>
  <si>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</si>
  <si>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</si>
  <si>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</si>
  <si>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</si>
  <si>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</si>
  <si>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</si>
  <si>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</si>
  <si>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</si>
  <si>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</si>
  <si>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</si>
  <si>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</si>
  <si>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</si>
  <si>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</si>
  <si>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</si>
  <si>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</si>
  <si>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</si>
  <si>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</si>
  <si>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</si>
  <si>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</si>
  <si>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</si>
  <si>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</si>
  <si>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</si>
  <si>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</si>
  <si>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</si>
  <si>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</si>
  <si>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</si>
  <si>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</si>
  <si>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</si>
  <si>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</si>
  <si>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</si>
  <si>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</si>
  <si>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</si>
  <si>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</si>
  <si>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</si>
  <si>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</si>
  <si>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</si>
  <si>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</si>
  <si>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</si>
  <si>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</si>
  <si>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</si>
  <si>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</si>
  <si>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</si>
  <si>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</si>
  <si>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</si>
  <si>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</si>
  <si>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</si>
  <si>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Behavioural and Social studies; Gender studies</t>
  </si>
  <si>
    <t>Communication studies; Social studies; Ethics; Education</t>
  </si>
  <si>
    <t>Social and Behavioural studies</t>
  </si>
  <si>
    <t>Behavioural and Social studies</t>
  </si>
  <si>
    <t>Economics; Sociology; Anthropology; Ethnography</t>
  </si>
  <si>
    <t>Sociology; Economics; Demography; Behavioural studies</t>
  </si>
  <si>
    <t>Behavioural studies; Sociology; Anthropology</t>
  </si>
  <si>
    <t>Social and Behavioural studies; Gender studies</t>
  </si>
  <si>
    <t>Sociology; Anthropology; Economics; Gender studies</t>
  </si>
  <si>
    <t>Gender studies; Behavioural studies; Cultural studies; Anthropology</t>
  </si>
  <si>
    <t>Economics; Social studies; Gender studies</t>
  </si>
  <si>
    <t>Sociology; Anthropology; Economics</t>
  </si>
  <si>
    <t>Sociology; Anthropology; Law; Economics; Gender studies</t>
  </si>
  <si>
    <t>Economics; Law</t>
  </si>
  <si>
    <t>Gender studies; Political Science; Media studies; Literature; Cultural studies; Anthropology; Ethnology</t>
  </si>
  <si>
    <t>Political Science; Public Administration; Economics; Cultural studies; Sociology; Gender studies; Human geography</t>
  </si>
  <si>
    <t>Public Administration</t>
  </si>
  <si>
    <t>Media studies; Behavioural sciences</t>
  </si>
  <si>
    <t>Political Science</t>
  </si>
  <si>
    <t>Political Science; History; Law; Ethics</t>
  </si>
  <si>
    <t>History; Sociology; Psychology; Law; Political Science; Cultural studies</t>
  </si>
  <si>
    <t>Political Science; Media studies</t>
  </si>
  <si>
    <t>Education</t>
  </si>
  <si>
    <t>Political Science; Sociology; Education; Media studies</t>
  </si>
  <si>
    <t>Gender studies; Political Science; Law</t>
  </si>
  <si>
    <t>Sociology; Behavioural studies; Education</t>
  </si>
  <si>
    <t>Communication and Media studies; Ethics; Law; Political Science; Sociology; Psychology; Gender studies</t>
  </si>
  <si>
    <t>Political Science; Economics; Sociology; Gender studies</t>
  </si>
  <si>
    <t>Media studies; Marketing; Business studies</t>
  </si>
  <si>
    <t>Business; Economics; Political science; Sociology; Anthropology</t>
  </si>
  <si>
    <t>Political Science; Law; Gender studies; Economics; Sociology</t>
  </si>
  <si>
    <t>Political Science; Sociology</t>
  </si>
  <si>
    <t>Arts; Cultural and Creative Sectors and Industries; Business studies</t>
  </si>
  <si>
    <t>Cultural and Creative Sectors and Industries</t>
  </si>
  <si>
    <t>Cultural and Creative Sectors and Industries; Economics; Business; Law; Ethics</t>
  </si>
  <si>
    <t>Cultural and Creative Sectors and Industries; Political Science</t>
  </si>
  <si>
    <t>Linguistics; Education; Media studies; Social studies; Cultural studies; Literature; Heritage and museum studies; Theatre studies</t>
  </si>
  <si>
    <t>Cultural heritage; Arts; Archaeology; History; Law</t>
  </si>
  <si>
    <t>Cultural and Creative Industries; Social innovation; Business studies</t>
  </si>
  <si>
    <t>Cultural and Creative Sectors and Industries; Law; Education; Ethics</t>
  </si>
  <si>
    <t>Cultural and Creative Sectors and Industries; Business studies; Sociology; Anthropology; Economics; Social innovation</t>
  </si>
  <si>
    <t>Cultural heritage; Cultural and Creative Sectors and Industries; Sociology</t>
  </si>
  <si>
    <t>Cultural and Creative Sectors and Industries; Economics; Sociology; Political Science; Business studies</t>
  </si>
  <si>
    <t>Cultural studies; Sociology; Anthropology; Economics; Gender studies; Ethics; Cultural heritage</t>
  </si>
  <si>
    <t>Heritage and museum studies; Cultural Anthropology; Ethnology; Media studies; Theatre studies; Literature; Musicology</t>
  </si>
  <si>
    <t>Heritage and museum studies; Cultural Anthropology; Ethnology; Media studies; Theatre studies; Literature; Musicology; Linguistics; Cultural Studies</t>
  </si>
  <si>
    <t>Cultural heritage; Arts; Cultural and Creative Industries</t>
  </si>
  <si>
    <t>Social studies; Political Science; Economics</t>
  </si>
  <si>
    <t>Economics; Sociology; Education</t>
  </si>
  <si>
    <t>Communication studies; Education; Economics; Sociology; Psychology; Anthropology</t>
  </si>
  <si>
    <t>Education; Sociology; Anthropology; Gender studies; Political Science</t>
  </si>
  <si>
    <t>Education; Sociology; Gender Studies</t>
  </si>
  <si>
    <t>Sociology; Law; Political Science</t>
  </si>
  <si>
    <t>Demography; Sociology; Social innovation; Economics</t>
  </si>
  <si>
    <t>Social Sciences and Humanities</t>
  </si>
  <si>
    <t>Sociology; Anthropology; Law; Philosophy; Systems science; Gender Studies</t>
  </si>
  <si>
    <t>Economics; Sociology</t>
  </si>
  <si>
    <t>Economics; Sociology; Public Administration; Business studies</t>
  </si>
  <si>
    <t>Economics; Sociology; Demography</t>
  </si>
  <si>
    <t>Education; Political Science; Sociology; Anthropology; Psychology</t>
  </si>
  <si>
    <t>Education; Economics; Sociology; Psychology</t>
  </si>
  <si>
    <t>Education; Economics; Sociology; Anthropology; Political Sciences; Social innovation</t>
  </si>
  <si>
    <t>Sociology; Political Science; Law; Cultural studies; Social innovation</t>
  </si>
  <si>
    <t>Sociology; Psychology; Economics; Gender studies</t>
  </si>
  <si>
    <t>Sociology; Criminology; Anthropology; Education; Public Administration</t>
  </si>
  <si>
    <t>Psychology; Criminology; Gender studies; Communication studies; Media Studies</t>
  </si>
  <si>
    <t>Psychology; Sociology; Criminology; Law; Anthropology; Cultural Studies</t>
  </si>
  <si>
    <t>Sociology; Gender studies; Ethnology; Religious studies</t>
  </si>
  <si>
    <t>Cultural and Social studies; Criminology</t>
  </si>
  <si>
    <t>Anthropology; Cultural Studies; Sociology; Economics; Law; Ethics; Gender Studies</t>
  </si>
  <si>
    <t>Social and Behavioural studies; Communication studies; Media studies; Gender Studies</t>
  </si>
  <si>
    <t>Anthropology; Sociology; Economics; Gender Studies; Political Science</t>
  </si>
  <si>
    <t>Behavioural studies; Economics; Education; Social Innovation</t>
  </si>
  <si>
    <t>Business studies; Economics</t>
  </si>
  <si>
    <t>Sociology; Psychology</t>
  </si>
  <si>
    <t>Sociology; Psychology; Ethics</t>
  </si>
  <si>
    <t>Sociology; Anthropology; Education</t>
  </si>
  <si>
    <t>Economics; Sociology; Public Administration; Ethics</t>
  </si>
  <si>
    <t>Communication studies; Media studies; Behavioural studies; Gender studies</t>
  </si>
  <si>
    <t>Economics; Political Science; Behavioural studies</t>
  </si>
  <si>
    <t>Sociology; Economics</t>
  </si>
  <si>
    <t>Sociology; Economics; Gender studies</t>
  </si>
  <si>
    <t>Sociology</t>
  </si>
  <si>
    <t>Sociology; Economics; Dempgraphy</t>
  </si>
  <si>
    <t>Sociology; Anthropology; Psychology</t>
  </si>
  <si>
    <t>Sociology; Economics; Business</t>
  </si>
  <si>
    <t>Urban planning; Social and Behavioural studies</t>
  </si>
  <si>
    <t>Gender studies; Education; Behavioral studies</t>
  </si>
  <si>
    <t>Economics; Finance</t>
  </si>
  <si>
    <t>Sociology; Economics; Law</t>
  </si>
  <si>
    <t>Economics; Anthropology</t>
  </si>
  <si>
    <t>Behavioural sciences; Psychology</t>
  </si>
  <si>
    <t>Economics; Psychology; Gender studies</t>
  </si>
  <si>
    <t>Behavioural sciences</t>
  </si>
  <si>
    <t>Law; Sociology; Anthropology</t>
  </si>
  <si>
    <t>Economics; Sociology; Anthropology</t>
  </si>
  <si>
    <t>Economics; Political Science; Sociology; Psychology; Gender studies</t>
  </si>
  <si>
    <t>Education; Law; Economics</t>
  </si>
  <si>
    <t>Sociology; Anthropology</t>
  </si>
  <si>
    <t>Economics</t>
  </si>
  <si>
    <t>Anthropology; Gender studies</t>
  </si>
  <si>
    <t>Economics; Business studies; Education; Gender studies</t>
  </si>
  <si>
    <t>Economics; Social and Cultural studies; Gender studies</t>
  </si>
  <si>
    <t>Business studies; Anthropology; Gender studies</t>
  </si>
  <si>
    <t>Sociology; Psychology; Demography; Behavioural studies; Education</t>
  </si>
  <si>
    <t>Social and Behavioural studies; Economics; Demography</t>
  </si>
  <si>
    <t>Economics; Management; Sociology</t>
  </si>
  <si>
    <t>Law; Gender studies; Education; Behavioural sciences</t>
  </si>
  <si>
    <t>SSH Keywords</t>
  </si>
  <si>
    <t>Science communication; Social studies of science and technology; Communication studies; Communication and information, networks, media; Social policies</t>
  </si>
  <si>
    <t>Environmental health; Public health and epidemiology; Climatology and climate change; Atmospheric chemistry; Bioinformatics and computational biology; Social and Behavioural studies</t>
  </si>
  <si>
    <t>Health care; Digital medicine; Medical applications of artificial intelligence; Management; Innovation; Spatial economics</t>
  </si>
  <si>
    <t>Pharmacology and toxicology; Pharmacogenomics; Digital medicine; Clinical decision support systems; Medical applications of AI; Electronic Health Records</t>
  </si>
  <si>
    <t>Biotechnology; Toxicology; Simulation engineering and modelling; Medical applications of AI; Organoids; Stem cells; Biomarkers</t>
  </si>
  <si>
    <t>Digital medicine; Medical applications of artificial intelligence; Simulation engineering; Scientific computing; Software engineering</t>
  </si>
  <si>
    <t>Artificial intelligence; Machine learning; Natural language processing; Data processing; Bioinformatics; Medical applications of AI</t>
  </si>
  <si>
    <t>Synthetic biology; Protein design; Biochemistry; Bioengineering for synthetic biology; Protein biology; Machine learning</t>
  </si>
  <si>
    <t>Medical technologies; Analytical chemistry; Microfluidics; Sensors; Manufacturing engineering; Production technology</t>
  </si>
  <si>
    <t>Political systems, governance; Inequalities, discrimination, prejudice; Aggression and violence; Gender-based violence; Intersectionality; Deepfakes; Cyberviolence</t>
  </si>
  <si>
    <t>Political systems, governance; Democratisation and social movements; Development economics; International relations; Sub-national governance; Fragile contexts</t>
  </si>
  <si>
    <t>Political systems, governance; Human resource management; Organisational behaviour; Public administration; Innovation portfolio; Digital transformation; AI in government</t>
  </si>
  <si>
    <t>Communication and information, networks, media; Digital social research; Business models; Journalism standards; AI in media; Audience engagement</t>
  </si>
  <si>
    <t>Social structure, social mobility, social innovation; Inequalities, discrimination, prejudice; Political systems, governance; Intersectionality; Gender equality</t>
  </si>
  <si>
    <t>International relations, global and transnational governance; Sustainability sciences; Environment and resources; Climate change; Biodiversity governance; Global commons; Science diplomacy</t>
  </si>
  <si>
    <t>Conflict resolution, war, peace building; Political systems, governance; Social and economic history; Reconciliation; Accountability; Sustainable peace; Post-conflict reconstruction</t>
  </si>
  <si>
    <t>Political systems, governance; Security, privacy, cryptology; Artificial intelligence; Digital transformation; Disinformation; Foreign interference; Electoral processes</t>
  </si>
  <si>
    <t>Social aspects of teaching and learning; Curriculum studies; Education and educational policies; Political systems, governance; Lifelong learning; Civic engagement; Vocational training</t>
  </si>
  <si>
    <t>Communication and information, networks, media; Digital social research; Social attitudes and beliefs; Media literacy; Disinformation; Algorithmic amplification; Democratic resilience</t>
  </si>
  <si>
    <t>Aggression and violence, antisocial behaviour, crime; Social attitudes and beliefs; Communication and information, networks, media; Radicalisation; Extremism; Hate speech; Polarisation</t>
  </si>
  <si>
    <t>Political systems, governance; Democratisation and social movements; Inequalities, discrimination, prejudice; International relations; Autocratic regimes; Human rights; Civic space</t>
  </si>
  <si>
    <t>Social aspects of teaching and learning; Education and educational policies; Social structure, social innovation; Citizenship education; Student councils; Family engagement; Civic identity</t>
  </si>
  <si>
    <t>Digital social research; Artificial intelligence; Machine learning; Inequalities, discrimination, prejudice; Deepfakes; Cyberviolence; Disinformation; Algorithmic bias</t>
  </si>
  <si>
    <t>International relations, global and transnational governance; Humanitarian assistance and development; Development economics; Democratic governance; Development aid; Multilateralism</t>
  </si>
  <si>
    <t>Communication and information, networks, media; Digital social research; News media; Media freedom; Journalism; Audience behavior; Business models</t>
  </si>
  <si>
    <t>Political systems, governance; Corporate finance; Institutional economics; Corporate influence; Lobbying; Democratic accountability; Private sector involvement</t>
  </si>
  <si>
    <t>Constitutions, human rights, international law; International trade; International relations; Global human rights; EU values; Trade policies; Accountability</t>
  </si>
  <si>
    <t>Political systems, governance; Social innovation; Democratisation and social movements; Civic tech; European democracy; Political participation; Civil society</t>
  </si>
  <si>
    <t>History of art and of architecture; Visual and performing arts, screen, arts-based research; Studies of arts; Social studies of science and technology; Soft skills</t>
  </si>
  <si>
    <t>Innovation, research &amp; development, entrepreneurship; Strategy, operation research; Creative industries; Startup; Disruptive innovation</t>
  </si>
  <si>
    <t>Artificial intelligence; Machine learning; Creative industries; Digital social research; Digital approaches to anthropology, cultural studies and art</t>
  </si>
  <si>
    <t>Artificial intelligence; Machine learning; Legal studies, comparative law, law and economics; Creative industries; Intellectual property management</t>
  </si>
  <si>
    <t>International relations, global and transnational governance; Cultural studies and theory, cultural identities and memories, cultural heritage; Creative industries; International business; Global partnerships</t>
  </si>
  <si>
    <t>Theoretical linguistics; Computational linguistics; Language learning and processing; Cultural studies and theory, cultural identities and memories, cultural heritage; Sociolinguistics</t>
  </si>
  <si>
    <t>Archaeology; Museums, exhibitions, conservation and restoration; Security, privacy, cryptology; Aggression and violence, antisocial behaviour, crime; Cultural heritage</t>
  </si>
  <si>
    <t>Innovation, research &amp; development, entrepreneurship; Management; Strategy, operation research; Creative industries; Regional development</t>
  </si>
  <si>
    <t>Artificial intelligence; Machine learning; Creative industries; Digital approaches to anthropology, cultural studies and art; Networks</t>
  </si>
  <si>
    <t>Sustainability sciences, environment and resources, ecosystem services; Architecture, design, craft, creative industries; Circular economy; Frugal innovation; Environment chemistry</t>
  </si>
  <si>
    <t>Clinical and health psychology; Museums, exhibitions, conservation and restoration; Social aspects of health, ageing and society; Studies of arts; Well-being</t>
  </si>
  <si>
    <t>Social structure, social mobility, social innovation; Management; Organisational behaviour; Creative industries; Social economy</t>
  </si>
  <si>
    <t>Human, economic and social geography; Cultural studies and theory, cultural identities and memories, cultural heritage; Artificial intelligence; Sustainable development; Tourism</t>
  </si>
  <si>
    <t>Cultural studies and theory, cultural identities and memories, cultural heritage; Museums, exhibitions, conservation and restoration; Social structure, social mobility, social innovation; Diversity and identities, gender, interethnic relations</t>
  </si>
  <si>
    <t>Cultural studies and theory, cultural identities and memories, cultural heritage; Museums, exhibitions, conservation and restoration; Diversity and identities, gender, interethnic relations; Digital approaches to anthropology, cultural studies and art</t>
  </si>
  <si>
    <t>Cultural studies and theory, cultural identities and memories, cultural heritage; Studies of arts; Innovation, research &amp; development, entrepreneurship; Social innovation</t>
  </si>
  <si>
    <t>Social structure, social mobility, social innovation; Social policies, welfare, work and employment; Education and educational policies; Labour economics; Fair transition; Sustainability sciences</t>
  </si>
  <si>
    <t>Macroeconomics; Economic growth, labour economics; Economic systems, institutional economics; Social policies, welfare, work and employment; Sustainable competitiveness</t>
  </si>
  <si>
    <t>Poverty and poverty alleviation; Inequalities, discrimination, prejudice; Education and educational policies; Social aspects of teaching and learning; Child poverty</t>
  </si>
  <si>
    <t>Social aspects of teaching and learning; Digital social research; Mental disorders; Personality and social cognition, emotion; Digital distraction; Video gaming</t>
  </si>
  <si>
    <t>Macroeconomics; Economic growth, labour economics; Innovation, research &amp; development; Education and educational policies; Basic skills; STEM participation</t>
  </si>
  <si>
    <t>Migration; Human, economic and social geography; Labour economics; International business; Talent partnerships; Higher education; Skilled migration</t>
  </si>
  <si>
    <t>Sustainability sciences, environment and resources; Environmental and climate change, societal impact and policy; Labour economics; Education and educational policies; Green skills; Carbon neutrality</t>
  </si>
  <si>
    <t>Migration; Social integration, exclusion, prosocial behaviour; Social aspects of health, ageing and society; Public health and epidemiology; Health equity; Asylum management</t>
  </si>
  <si>
    <t>Population dynamics: households, family and fertility; Social aspects of health, ageing and society; Health care, including care for the ageing population; Social policies, welfare; Long-term care; Demographic ageing</t>
  </si>
  <si>
    <t>Social studies of science and technology; Communication and information, networks, media; Innovation, research &amp; development; Interdisciplinary research; SSH-STEM integration</t>
  </si>
  <si>
    <t>Cities; Urban, regional and rural studies; Sustainability sciences; Social structure, social innovation; Inequalities, discrimination, prejudice; Social cohesion; Green spaces</t>
  </si>
  <si>
    <t>Macroeconomics, labour economics; Social policies, welfare, work and employment; Poverty and poverty alleviation; Inequalities, discrimination, prejudice; In-kind benefits</t>
  </si>
  <si>
    <t>Social structure, social mobility, social innovation; Macroeconomics, labour economics; Management; Strategy, operation research; Social economy; Sustainable competitiveness</t>
  </si>
  <si>
    <t>Migration; Labour economics; Social policies, welfare, work and employment; Human, economic and social geography; Labour mobility; Internal market</t>
  </si>
  <si>
    <t>Social aspects of teaching and learning; Artificial intelligence; Digital social research; Education and educational policies; Cognitive basis of human development; Primary education</t>
  </si>
  <si>
    <t>Social aspects of teaching and learning; Education and educational policies; Learning, memory; Cognitive basis of human development; Youth skills; Educational performance</t>
  </si>
  <si>
    <t>Inequalities, discrimination, prejudice; Social policies, welfare, work and employment; Labour economics; Social aspects of health, ageing and society; Disability rights; Labour inclusion</t>
  </si>
  <si>
    <t>Migration; Social innovation; Strategy, operation research; Digital social research; Management; Innovation deployment; Migration policy</t>
  </si>
  <si>
    <t>Social aspects of health, ageing and society; Neurodegenerative disorders; Clinical and health psychology; Personality and social cognition; Dementia care; Informal caregivers</t>
  </si>
  <si>
    <t>Climate change; Environmental chemistry; Social dynamics; Migration; Food and water; Wildlife trafficking; Environmental crime; Forensics</t>
  </si>
  <si>
    <t>Artificial intelligence; Machine learning; Cloud computing; Generative AI; Quantum technologies; Data protection; Privacy</t>
  </si>
  <si>
    <t>Forensic science; Biometrics; Digital forensics; DNA biology; Mental health; Criminology; Human trafficking; Child protection</t>
  </si>
  <si>
    <t>Social cognition; Emotion; Crime; Aggression and violence; Addiction; Criminal justice; Youth at risk</t>
  </si>
  <si>
    <t>Terrorism; Radicalisation; Social psychology; Public administration; Security systems; Human-machine interfaces; Risk awareness</t>
  </si>
  <si>
    <t>Synthetic biology; Chemical biology; Biotechnology; Biohazards; Pathogens; Infectious diseases; Gene editing; Bioterrorism</t>
  </si>
  <si>
    <t>Deepfakes; Phishing; Identity theft; Security, privacy, cryptology; Artificial intelligence; Software engineering; Disinformation; Digital violence</t>
  </si>
  <si>
    <t>Social structure; Social mobility; Diversity; Identities; Conflict resolution; Migration; Marginalized groups; Hate crimes</t>
  </si>
  <si>
    <t>Social innovation; Cultural heritage; Crime; Terrorism; Radicalisation; Ethics; Policy; Regulation</t>
  </si>
  <si>
    <t>Terrorism; Security, privacy, cryptology; Public spaces; Communication systems; Wireless technology; Social policies; Data protection</t>
  </si>
  <si>
    <t>Toxicology; Synthetic drugs; Cocaine; Stimulants; Supply chain; Social factors; Drug trafficking; Pharmacology</t>
  </si>
  <si>
    <t>Unmanned aerial vehicles; Earth observations; Signal processing; Maritime surveillance; Remote sensing; Geohazards; Robotics</t>
  </si>
  <si>
    <t>Human computer interaction; Security, privacy, cryptology; Digital identity; Social innovation; Data protection; Biometric matching</t>
  </si>
  <si>
    <t>Medical imaging; Medical ethics; Legal studies; Child protection; Forensic science; Data analysis; Human rights</t>
  </si>
  <si>
    <t>International law; Diversity and identities; Social innovation; Border checks; Ethics; Intersectional perspectives; Migration</t>
  </si>
  <si>
    <t>Security, privacy, cryptology; Machine learning; Wireless technology; Internet of things; Biometrics; Digital travel credentials</t>
  </si>
  <si>
    <t>Environment chemistry; Artificial intelligence; Machine learning; Multi-modal transport; Crime; Supply chain security; Tracking and tracing</t>
  </si>
  <si>
    <t>Scientific computing and data processing; Software engineering; Security, privacy, cryptology; Simulation engineering and modelling; Civil engineering; Digital twins; Vulnerability; Scenario building</t>
  </si>
  <si>
    <t>Environmental engineering; Energy processes engineering; Cities; Urban, regional and rural studies; Sustainability sciences; Security, privacy, cryptology; Green technology; Battery fires</t>
  </si>
  <si>
    <t>Geohazards; Earth system modelling; Civil engineering; Simulation engineering and modelling; Communication systems; Multi-hazard; Cascading risk; Situational awareness</t>
  </si>
  <si>
    <t>Robotics; Systems engineering; Civil engineering; Architecture; Security, privacy, cryptology; Security-by-design; Spatial planning; Swarm robotics</t>
  </si>
  <si>
    <t>Security, privacy, cryptology; Artificial intelligence; Machine learning; Databases, web and information systems; Information retrieval; Data phishing; Social media; Deep web</t>
  </si>
  <si>
    <t>Social innovation; Risk perception; Digital platforms; Immersive technologies; Participatory tools; Behavioural insights; Wildlife protection; Gender and disabilities</t>
  </si>
  <si>
    <t>Multi-hazard; Cascading effects; Predictive models; Artificial intelligence; Remote sensing; Numerical simulations; Platform interoperability; Disaster risk management</t>
  </si>
  <si>
    <t>Search and rescue; Robotics; Autonomous systems; Remote sensing; Smart protective equipment; Command-and-control; Situational awareness; Human sensor technologies</t>
  </si>
  <si>
    <t>Innovation uptake; Technology readiness level; Pilot projects; Evidence-based decision-making; Interoperability; Digital twins; Commercialization; Civil protection systems</t>
  </si>
  <si>
    <t>Climate security; Risk forecasting; Crisis management; Situational awareness; Flooding; Landslides; Satellite remote sensing; Adaptation measures</t>
  </si>
  <si>
    <t>CBRN-E; Protective gear; Smart equipment; Hazardous environments; Innovative materials; Real-time situational awareness; Communication systems; User-centric design</t>
  </si>
  <si>
    <t>Societal resilience; Youth engagement; Digital innovation; Gamification; Interactive learning; Citizen science; Artificial intelligence; Virtual reality</t>
  </si>
  <si>
    <t>Decision support systems; Artificial intelligence; Real-time data; Situational awareness; Predictive modelling; Drones; Interoperability; Crisis management</t>
  </si>
  <si>
    <t>Cross-border disasters; Virtual reality; Augmented reality; Simulations; Digital twins; Transboundary hazards; Knowledge sharing; Interoperability</t>
  </si>
  <si>
    <t>Innovation; Research &amp; development; Technology foresight; Disruptive technologies; Technology readiness levels; Breakthrough technologies; Risk mitigation</t>
  </si>
  <si>
    <t>Public procurement; Pre-commercial procurement; R&amp;D services; Market landscape; Startups; SMEs; Technology validation</t>
  </si>
  <si>
    <t>Innovation procurement; Market readiness; Post-quantum cryptography; Scalability; Deployment; Technical performance; Best-value-for-money</t>
  </si>
  <si>
    <t>Communication systems; Wireless technology; Internet of Things; Post-quantum cryptography; Situational awareness; Mission-critical services; Wearable sensors; Ruggedized devices</t>
  </si>
  <si>
    <t>Innovation; SMEs; Startups; Technology transfer; Business models; Market requirements; Knowledge transfer; IP management; Civil security</t>
  </si>
  <si>
    <t>Public procurement; Open market consultation; Technical alternatives; Technology maturation; Joint procurement; Market mapping; Legal feasibility</t>
  </si>
  <si>
    <t>Pre-commercial procurement; R&amp;D services; Prototyping; Industrial base; Market demand; Technology validation; Innovation procurement</t>
  </si>
  <si>
    <t>Robotics; Manufacturing engineering and industrial design; Artificial intelligence; Machine learning; Automotive and rail engineering; Multi-/inter-modal transport engineering</t>
  </si>
  <si>
    <t>Artificial intelligence; Machine learning; International trade; International business; Development economics political economics; Social studies of science and technology</t>
  </si>
  <si>
    <t>Innovation, research &amp; development, entrepreneurship; Strategy, operation research; Management; International trade; International business; Social studies of science and technology</t>
  </si>
  <si>
    <t>Atmospheric chemistry; Climatology and climate change; Biogeochemistry; Earth observations from space/remote sensing; Earth system modelling and interactions</t>
  </si>
  <si>
    <t>Climatology and climate change; Geohazards; Earth system modelling and interactions; Sustainability sciences; Environmental and climate change</t>
  </si>
  <si>
    <t>Macroeconomics; Development economics; Econometrics; Sustainability sciences; Environmental and climate change</t>
  </si>
  <si>
    <t>Social attitudes and beliefs; Communication and information; Digital social research; Social studies of science and technology; Environmental and climate change</t>
  </si>
  <si>
    <t>Meteorology, atmospheric physics and dynamics; Climatology and climate change; Earth observations from space/remote sensing; Hydrology; Earth system modelling and interactions</t>
  </si>
  <si>
    <t>Climatology and climate change; Oceanography; Biogeochemistry; Cryosphere; Earth system modelling and interactions</t>
  </si>
  <si>
    <t>Meteorology; Climatology and climate change; Hydrology; Geohazards; Earth system modelling and interactions</t>
  </si>
  <si>
    <t>Climatology and climate change; Palaeoclimatology; Geochemistry; Sedimentology; Earth system modelling and interactions</t>
  </si>
  <si>
    <t>Econometrics; Political systems, governance; Social attitudes and beliefs; Environmental and climate change; Energy, transportation and mobility</t>
  </si>
  <si>
    <t>Sustainability sciences; Environmental and climate change; Biodiversity; Biological aspects of environmental change; Theoretical developments and modelling</t>
  </si>
  <si>
    <t>Environmental and climate change; Climatology and climate change; International relations; Development economics; Earth system modelling and interactions</t>
  </si>
  <si>
    <t>Climatology and climate change; Oceanography; Biogeochemistry; Earth system modelling and interactions; Biological aspects of environmental change</t>
  </si>
  <si>
    <t>Sustainability sciences; Environmental and climate change; Climatology and climate change; Earth system modelling and interactions; Political systems, governance</t>
  </si>
  <si>
    <t>Structural properties of materials; Solid state materials chemistry; Biomaterials synthesis; Polymer chemistry; Chemical engineering, technical chemistry</t>
  </si>
  <si>
    <t>Environmental engineering; Nanomaterials engineering; Environment chemistry; Robotics; Production technology</t>
  </si>
  <si>
    <t>Engineering of composites and hybrid materials; Automotive and rail engineering; Aerospace engineering; Manufacturing engineering; Electrical energy production</t>
  </si>
  <si>
    <t>Environmental engineering; Environment chemistry; International relations; Automotive and rail engineering; Analytical chemistry</t>
  </si>
  <si>
    <t>Environmental engineering; Chemical engineering; Characterisation methods of materials; Analytical chemistry; Production technology</t>
  </si>
  <si>
    <t>Production technology; Manufacturing engineering; Computational methods for materials engineering; Simulation engineering and modelling; Engineering of alternative materials</t>
  </si>
  <si>
    <t>Engineering of alternative established or emergent materials; Semi-conducting and magnetic materials engineering; Energy processes engineering; Solid state materials chemistry; Structure of solids</t>
  </si>
  <si>
    <t>Energy processes engineering; Electrical energy production; Electrochemistry; Chemical engineering; Electrical engineering</t>
  </si>
  <si>
    <t>Energy processes engineering; Production technology; Environmental engineering; Innovation; Manufacturing engineering</t>
  </si>
  <si>
    <t>Energy processes engineering; Heterogeneous catalysis; Mesoscopic quantum physics; Solid state materials chemistry; Environmental engineering</t>
  </si>
  <si>
    <t>Mechanical engineering; Naval/marine engineering; Control engineering; Manufacturing engineering; Engineering of composites</t>
  </si>
  <si>
    <t>Chemical engineering; Energy processes engineering; Production technology; Innovation; Political systems, governance</t>
  </si>
  <si>
    <t>Biomass production and utilisation, biofuels; Energy processes engineering; Chemical engineering; Environmental engineering; Sustainability sciences</t>
  </si>
  <si>
    <t>Geology; Physics of earth’s interior; Geochemistry; Earth system modelling; Civil engineering</t>
  </si>
  <si>
    <t>Energy processes engineering; Thermodynamics; Chemical engineering; Production technology; Manufacturing engineering</t>
  </si>
  <si>
    <t>Chemical engineering; Biomass production; Energy processes engineering; Political systems, governance; Sustainability sciences</t>
  </si>
  <si>
    <t>Naval/marine engineering; Energy processes engineering; Mechanical engineering; Electrical energy production; Engineering of composites</t>
  </si>
  <si>
    <t>Energy processes engineering; Energy, transportation and mobility; Development economics; Sustainability sciences; Electrical energy production</t>
  </si>
  <si>
    <t>Mechanical engineering; Civil engineering; Energy processes engineering; Electrical energy production; Hydrology</t>
  </si>
  <si>
    <t>Physical properties of semiconductors; Engineering of alternative materials; Environmental engineering; Solid state materials chemistry; Structure of solids</t>
  </si>
  <si>
    <t>Manufacturing engineering; Environmental engineering; Engineering of composites; Nanomaterials engineering; Production technology</t>
  </si>
  <si>
    <t>Civil engineering; Naval/marine engineering; Electrical energy production; Earth system modelling; Biological aspects of environmental change</t>
  </si>
  <si>
    <t>Manufacturing engineering; Production technology; Physical properties of semiconductors; Engineering of alternative materials; Artificial intelligence</t>
  </si>
  <si>
    <t>Manufacturing engineering; Engineering of polymers; Semi-conducting and magnetic materials; Physical properties of semiconductors; Thin films</t>
  </si>
  <si>
    <t>Electrical energy production; Electrical engineering; Energy processes engineering; Energy, transportation and mobility; Microeconomics</t>
  </si>
  <si>
    <t>Electrical engineering; Control engineering; Electrical energy production; Simulation engineering; Artificial intelligence</t>
  </si>
  <si>
    <t>Electrical engineering; Electrical energy production; Energy processes engineering; Semi-conducting and magnetic materials; Environmental engineering</t>
  </si>
  <si>
    <t>Artificial intelligence; Machine learning; Control engineering; Simulation engineering; Electrical energy production</t>
  </si>
  <si>
    <t>Electrical energy production; Energy processes engineering; Electrochemistry; Electrical engineering; Engineering of alternative materials</t>
  </si>
  <si>
    <t>Machine learning; Artificial intelligence; Social attitudes and beliefs; Energy, transportation and mobility; Econometrics, game theory</t>
  </si>
  <si>
    <t>Databases; Machine learning; Natural language processing; Security, privacy, cryptology; Electrical energy production</t>
  </si>
  <si>
    <t>Machine learning; Natural language processing; Numerical and scientific computing; Control engineering; Electrical energy production</t>
  </si>
  <si>
    <t>Control engineering; Electrical energy production; Artificial intelligence; Security, privacy, cryptology; Simulation engineering</t>
  </si>
  <si>
    <t>Electrical energy production; Control engineering; Artificial intelligence; Networks (IoT); Security, privacy, cryptology</t>
  </si>
  <si>
    <t>Energy processes engineering; Civil engineering; Environmental engineering; Electrical energy production; Engineering of alternative materials</t>
  </si>
  <si>
    <t>Communication and information; Energy, transportation and mobility; Databases; Numerical and scientific computing; Innovation</t>
  </si>
  <si>
    <t>Environmental engineering; Hydrology; Geology; Geochemistry; Chemical engineering</t>
  </si>
  <si>
    <t>Environmental engineering; Chemical engineering; Environment chemistry; Porous materials engineering; Solid state materials chemistry</t>
  </si>
  <si>
    <t>Political systems, governance; Sustainability sciences; Macroeconomics; Environmental engineering; Legal studies</t>
  </si>
  <si>
    <t>Environmental engineering; Chemical engineering; Social attitudes and beliefs; Sustainability sciences; Political systems, governance</t>
  </si>
  <si>
    <t>Sustainability sciences; Social attitudes and beliefs; Cities; Social aspects of health, ageing and society; Social structure, social mobility, social innovation; Environmental and climate change; Social studies of science and technology</t>
  </si>
  <si>
    <t>Civil engineering, architecture; Manufacturing engineering; Environmental engineering; Production technology; Sustainability sciences; Cities; Engineering of composites and hybrid materials</t>
  </si>
  <si>
    <t>Databases, web and information systems; Machine learning; Numerical and scientific computing; Environmental engineering; Sustainability sciences; Civil engineering; Security, privacy, cryptology</t>
  </si>
  <si>
    <t>Political systems, governance; Sustainability sciences; Microeconomics, industrial organisation; Social structure, social mobility, social innovation; Environmental and climate change; Innovation, research &amp; development; Legal studies</t>
  </si>
  <si>
    <t>Robotics; Manufacturing engineering; Production technology; Civil engineering; Artificial intelligence; Computational methods for materials engineering; Control engineering</t>
  </si>
  <si>
    <t>Energy processes engineering; Thermodynamics; Electrical energy production, distribution, applications; Numerical and scientific computing; Environmental engineering; Simulation engineering and modelling; Operating and distributed systems</t>
  </si>
  <si>
    <t>Environmental engineering; Sustainability sciences; Civil engineering, architecture; Environment chemistry; Environmental and climate change; Biogeochemistry; Manufacturing engineering</t>
  </si>
  <si>
    <t>Energy processes engineering; Chemical engineering, technical chemistry; Thermodynamics; Production technology; Environmental engineering; Electrical energy production; Manufacturing engineering</t>
  </si>
  <si>
    <t>Energy processes engineering; Electrical energy production, distribution, applications; Thermodynamics; Chemical engineering, technical chemistry; Production technology; Control engineering; Mechanical engineering</t>
  </si>
  <si>
    <t>Automotive and rail engineering; Electrical energy production; Energy, transportation and mobility; Manufacturing engineering; Artificial intelligence</t>
  </si>
  <si>
    <t>Software engineering; Automotive and rail engineering; Control engineering; Electrical engineering; Artificial intelligence</t>
  </si>
  <si>
    <t>Environmental engineering; Databases; Sustainability sciences; Computational materials engineering; Machine learning</t>
  </si>
  <si>
    <t>Automotive and rail engineering; Energy, transportation and mobility; Electrical energy production; Management; Simulation engineering</t>
  </si>
  <si>
    <t>Electrical engineering; Automotive and rail engineering; Energy processes engineering; Semi-conducting materials engineering; Mechanical engineering</t>
  </si>
  <si>
    <t>Environmental engineering; Social attitudes and beliefs; Analytical chemistry; Environment chemistry; Communication</t>
  </si>
  <si>
    <t>Aerospace engineering; Artificial intelligence; Machine learning; Manufacturing engineering; Simulation engineering</t>
  </si>
  <si>
    <t>Aerospace engineering; Manufacturing engineering; Polymer chemistry; Engineering of composites and hybrid materials; Engineering of metals and alloys</t>
  </si>
  <si>
    <t>Aerospace engineering; Fluid mechanics; Mechanical and acoustical properties; Simulation engineering; Metamaterials engineering</t>
  </si>
  <si>
    <t>Naval/marine engineering; Energy processes engineering; Engineering of alternative materials; Fluid dynamics; Engineering of composites</t>
  </si>
  <si>
    <t>Naval/marine engineering; Digital social research; Sustainability sciences; Electrical energy production; Security</t>
  </si>
  <si>
    <t>Naval/marine engineering; Robotics; Artificial intelligence; Manufacturing engineering; Engineering of composites</t>
  </si>
  <si>
    <t>Environmental engineering; Legal studies; Sustainability sciences; Environment chemistry; Communication</t>
  </si>
  <si>
    <t>Naval/marine engineering; Energy processes engineering; Electrical energy production; Control engineering; Oceanography</t>
  </si>
  <si>
    <t>Nuclear physics; Naval/marine engineering; International relations; Sustainability sciences; Macroeconomics</t>
  </si>
  <si>
    <t>Robotics; Artificial intelligence; Naval/marine engineering; Computer vision; Security</t>
  </si>
  <si>
    <t>Environmental engineering; Oceanography; Biological aspects of environmental change; Environment chemistry; Hydrology</t>
  </si>
  <si>
    <t>Electrical energy production; Electrochemistry; Naval/marine engineering; Control engineering; Energy processes</t>
  </si>
  <si>
    <t>Environmental engineering; Automotive and rail engineering; Environment chemistry; Environmental health; Atmospheric chemistry</t>
  </si>
  <si>
    <t>Atmospheric chemistry; Environmental health; Mechanical and acoustical properties; Earth observations; Social aspects of health</t>
  </si>
  <si>
    <t>Artificial intelligence; Computer vision; Control engineering; Networks; Automotive and rail engineering; Energy, transportation and mobility</t>
  </si>
  <si>
    <t>International trade; Innovation; International relations; Energy, transportation and mobility; Artificial intelligence</t>
  </si>
  <si>
    <t>Artificial intelligence; Machine learning; Natural language processing; Computer vision; Control engineering</t>
  </si>
  <si>
    <t>Artificial intelligence; Control engineering; Networks; Automotive and rail engineering; Social attitudes and beliefs</t>
  </si>
  <si>
    <t>Political systems, governance; Communication; Digital social research; Energy, transportation and mobility; Databases</t>
  </si>
  <si>
    <t>Databases; Artificial intelligence; Networks; Automotive and rail engineering; Energy, transportation and mobility</t>
  </si>
  <si>
    <t>Cities; Energy, transportation and mobility; Communication; Social studies of science and technology; Innovation</t>
  </si>
  <si>
    <t>Human, economic and social geography; Cities; Energy, transportation and mobility; Inequalities; Social integration</t>
  </si>
  <si>
    <t>Automotive and rail engineering; Geohazards; Social attitudes and beliefs; Energy, transportation and mobility; Computer vision</t>
  </si>
  <si>
    <t>Artificial intelligence; Machine learning; Numerical and scientific computing; Control engineering; Energy, transportation and mobility</t>
  </si>
  <si>
    <t>Communication systems; Networks (IoT); Aerospace engineering; Security; Artificial intelligence</t>
  </si>
  <si>
    <t>Communication; Innovation; Energy, transportation and mobility; Digital social research; Social studies of science and technology</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</si>
  <si>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</si>
  <si>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</si>
  <si>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Oceanography (physical, chemical, biological, geological); Marine biology and ecology; Biodiversity; Genomics; Earth observations from space/remote sensing; Biogeochemistry, biogeochemical cycles, environmental chemistry; Ecosystem and community ecology, macroecology</t>
  </si>
  <si>
    <t>Conservation biology; Biodiversity; Biological aspects of environmental change, including climate change; Sustainability sciences, environment and resources, ecosystem services; Environmental and climate change, societal impact and policy; Political systems, governance</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</si>
  <si>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</si>
  <si>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</si>
  <si>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</si>
  <si>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Biodiversity; Conservation biology; Population biology, population dynamics, population genetics; Biological aspects of environmental change, including climate change; Ecophysiology, from organisms to ecosystems; Ecology and evolution of species interactions</t>
  </si>
  <si>
    <t>Social structure, social mobility, social innovation; Social attitudes and beliefs; Conservation biology; Biodiversity; Environmental and climate change, societal impact and policy; Personality and social cognition; Emotion</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</si>
  <si>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</si>
  <si>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Earth observations from space/remote sensing; Computer vision, computer graphics, visualization; Machine learning, statistical data processing; Biodiversity; Earth system modelling and interactions; Bioinformatics and computational biology; Genomics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</si>
  <si>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</si>
  <si>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Environmental engineering; Robotics; Ecosystem and community ecology, macroecology; Manufacturing engineering and industrial design; Engineering of biomaterials, biomimetic, bioinspired and bio-enabled materials; Components and systems for applications</t>
  </si>
  <si>
    <t>Ecology and evolution of species interactions; Biodiversity; Conservation biology; Microbial ecology and evolution; Ecotoxicology, biohazards and biosafety; Machine learning, statistical data processing</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</si>
  <si>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</si>
  <si>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</si>
  <si>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Public health and epidemiology; Environmental health, occupational medicine; Microbial ecology and evolution; Microbiome and host physiology; Biological aspects of environmental change, including climate change; Ecosystem and community ecology</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</si>
  <si>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</si>
  <si>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Applied plant sciences, plant breeding, agroecology and soil biology; Genetics; Genomics; Plant pathology and pest resistance; Ecology and evolution of species interactions; Bioengineering for synthetic and chemical biology</t>
  </si>
  <si>
    <t>Plant pathology and pest resistance; Applied plant sciences, plant breeding, agroecology and soil biology; Food biotechnology and bioengineering; Analytical chemistry; Ecology and evolution of species interactions</t>
  </si>
  <si>
    <t>Plant pathology and pest resistance; Applied plant sciences, plant breeding, agroecology and soil biology; Biodiversity; Bioinformatics and computational biology; Sustainability sciences, environment and resources, ecosystem services</t>
  </si>
  <si>
    <t>Applied plant sciences, plant breeding, agroecology and soil biology; Food biotechnology and bioengineering; Sustainability sciences, environment and resources, ecosystem services; Biodiversity; Innovation, research &amp; development, entrepreneurship</t>
  </si>
  <si>
    <t>Genetics; Genomics; Applied plant sciences, plant breeding, agroecology and soil biology; Plant pathology and pest resistance; Bioinformatics and computational biology</t>
  </si>
  <si>
    <t>Veterinary and applied animal sciences; Sustainability sciences, environment and resources, ecosystem services; Biodiversity; Management; Operations management, international management; Food biotechnology and bioengineering</t>
  </si>
  <si>
    <t>Applied plant sciences, plant breeding, agroecology and soil biology; Artificial intelligence, autonomous agents, knowledge representation; Environmental engineering; Innovation, research &amp; development, entrepreneurship; Food biotechnology and bioengineering</t>
  </si>
  <si>
    <t>Plant pathology and pest resistance; Applied plant sciences, plant breeding, agroecology and soil biology; Environmental and climate change, societal impact and policy; Political systems, governance; Communication and information, networks, media</t>
  </si>
  <si>
    <t>Marine biology and ecology; Biodiversity; Conservation biology; Population biology, population dynamics, population genetics; Environmental and climate change, societal impact and policy; Oceanography</t>
  </si>
  <si>
    <t>Cardiovascular system and cardiovascular diseases; Microbiome and host physiology; Public health and epidemiology; Artificial intelligence, autonomous agents, knowledge representation; Food biotechnology and bioengineering</t>
  </si>
  <si>
    <t>Public health and epidemiology; Health care, including care for the ageing population; Nutrition and exercise physiology; Social aspects of health, ageing and society; Marketing, consumer behaviour</t>
  </si>
  <si>
    <t>Microbiome and host physiology; Metagenomics; Food biotechnology and bioengineering; Numerical and scientific computing, computational modelling and simulation methods, bioinformatics; Innovative methods and modelling</t>
  </si>
  <si>
    <t>Microbiome and host physiology; Public health and epidemiology; Sustainability sciences, environment and resources, ecosystem services; Political systems, governance; Communication and information, networks, media</t>
  </si>
  <si>
    <t>Plant pathology and pest resistance; Applied plant sciences, plant breeding, agroecology and soil biology; Sustainability sciences, environment and resources, ecosystem services; Biodiversity; International relations, global and transnational governance</t>
  </si>
  <si>
    <t>Food biotechnology and bioengineering; Microbial biotechnology and bioengineering; Innovation, research &amp; development, entrepreneurship; Sustainability sciences, environment and resources, ecosystem services; Manufacturing engineering and industrial design</t>
  </si>
  <si>
    <t>Applied plant sciences, plant breeding, agroecology and soil biology; Environmental engineering; Innovation, research &amp; development, entrepreneurship; Sustainability sciences, environment and resources, ecosystem services; Biodiversity</t>
  </si>
  <si>
    <t>Applied plant sciences, plant breeding, agroecology and soil biology; Sustainability sciences, environment and resources, ecosystem services; Biodiversity; Management; Operations management, international management; Social structure, social mobility, social innovation</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</si>
  <si>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</si>
  <si>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Veterinary and applied animal sciences; Climatology and climate change; Sustainability sciences, environment and resources, ecosystem services; Food biotechnology and bioengineering; Marketing, consumer behaviour</t>
  </si>
  <si>
    <t>Microbiome and host physiology; Veterinary and applied animal sciences; Public health and epidemiology; Microbial ecology and evolution; Innovative methods and modelling</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</si>
  <si>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</si>
  <si>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Applied plant sciences, plant breeding, agroecology and soil biology; Sustainability sciences, environment and resources, ecosystem services; Innovation, research &amp; development, entrepreneurship; Biodiversity; Management</t>
  </si>
  <si>
    <t>Marine biology and ecology; Sustainability sciences, environment and resources, ecosystem services; Management; Operations management, international management; Biodiversity; Artificial intelligence, autonomous agents, knowledge representation</t>
  </si>
  <si>
    <t>Food biotechnology and bioengineering; Microbial biotechnology and bioengineering; Innovation, research &amp; development, entrepreneurship; Management; Operations management, international management; Sustainability sciences, environment and resources, ecosystem services</t>
  </si>
  <si>
    <t>Artificial intelligence, autonomous agents, knowledge representation; Food biotechnology and bioengineering; Analytical chemistry; Innovative methods and modelling; Biochemistry</t>
  </si>
  <si>
    <t>International relations, global and transnational governance; Sustainability sciences, environment and resources, ecosystem services; Political systems, governance; Innovation, research &amp; development, entrepreneurship; Communication and information, networks, media</t>
  </si>
  <si>
    <t>Plant pathology and pest resistance; Applied plant sciences, plant breeding, agroecology and soil biology; Climatology and climate change; Biodiversity; Environmental and climate change, societal impact and policy</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</si>
  <si>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</si>
  <si>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Environmental engineering; Engineering of polymers and plastics; Engineering of composites and hybrid materials; Food biotechnology and bioengineering; Sustainability sciences; Nanomaterials engineering</t>
  </si>
  <si>
    <t>Environmental engineering; Engineering of polymers and plastics; Polymer chemistry; Environmental biotechnology and bioengineering; Sustainability sciences; Engineering of composites</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</si>
  <si>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</si>
  <si>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</si>
  <si>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</si>
  <si>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Political systems, governance; Sustainability sciences, environment and resources, ecosystem services; Management; Operations management, international management; Communication and information, networks, media; Social structure, social mobility, social innovation</t>
  </si>
  <si>
    <t>Bioengineering for synthetic and chemical biology; Synthetic biology; Bioinformatics and computational biology; Gene editing; Microbiome and host physiology; Machine learning, statistical data processing</t>
  </si>
  <si>
    <t>Environmental engineering; Sustainability sciences, environment and resources, ecosystem services; Innovation, research &amp; development, entrepreneurship; Manufacturing engineering and industrial design; Engineering of alternative established or emergent materials</t>
  </si>
  <si>
    <t>Sustainability sciences, environment and resources, ecosystem services; Management; Applied plant sciences, plant breeding, agroecology and soil biology; Finance; Financial markets; Macroeconomics; Land use and planning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</si>
  <si>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</si>
  <si>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Marine biotechnology and bioengineering; Marine biology and ecology; Biochemistry; Synthetic biology; Bioinformatics and computational biology; Bioengineering</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</si>
  <si>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</si>
  <si>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Cities; Urban, regional and rural studies; Manufacturing engineering and industrial design; Environmental engineering; Innovation, research &amp; development, entrepreneurship; Social structure, social mobility, social innovation; Management</t>
  </si>
  <si>
    <t>Environmental engineering; Semi-conducting and magnetic materials engineering; Sustainability sciences; Manufacturing engineering and industrial design; Marketing, consumer behaviour; Artificial intelligence</t>
  </si>
  <si>
    <t>Civil engineering, architecture; Environmental engineering; Engineering of biomaterials, biomimetic, bioinspired materials; Sustainability sciences; Manufacturing engineering; Architecture, design</t>
  </si>
  <si>
    <t>Environmental biotechnology and bioengineering; Microbial biotechnology and bioengineering; Polymer chemistry; Environmental engineering; Biochemistry; Engineering of polymers and plastics</t>
  </si>
  <si>
    <t>Social aspects of teaching and learning; Social structure, social mobility, social innovation; Management; Operations management; Sustainability sciences; Social attitudes and beliefs; Entrepreneurship</t>
  </si>
  <si>
    <t>Environmental engineering; Sustainability sciences, environment and resources, ecosystem services; Marketing, consumer behaviour; Engineering of polymers and plastics; Engineering of composites and hybrid materials; Artificial intelligence</t>
  </si>
  <si>
    <t>Sustainability sciences, environment and resources, ecosystem services; Cities; Innovation, research &amp; development, entrepreneurship; Political systems, governance; Social innovation; Biomass production and utilisation</t>
  </si>
  <si>
    <t>Sustainability sciences; Biomass production and utilisation; Environmental engineering; Management; Operations management; Artificial intelligence; Ecosystem and community ecology</t>
  </si>
  <si>
    <t>Bioengineering for synthetic and chemical biology; Synthetic biology; Microbial biotechnology and bioengineering; Environmental engineering; Environment chemistry; Entrepreneurship</t>
  </si>
  <si>
    <t>Bioengineering for synthetic and chemical biology; Environmental engineering; Sustainability sciences; Engineering of biomaterials; Management; Engineering of alternative materials</t>
  </si>
  <si>
    <t>Terrestrial ecology, land cover change; International relations, global governance; Political systems, governance; Sustainability sciences; Conservation biology; Social aspects of teaching and learning</t>
  </si>
  <si>
    <t>Cities; Urban, regional and rural studies; Sustainability sciences; Social structure, social mobility, social innovation; Political systems, governance; Entrepreneurship; Environmental engineering</t>
  </si>
  <si>
    <t>Cities; Urban, regional and rural studies; Manufacturing engineering and industrial design; Environmental engineering; Entrepreneurship; Social innovation; Management</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</si>
  <si>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</si>
  <si>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</si>
  <si>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</si>
  <si>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Environmental biotechnology and bioengineering; Microbial biotechnology and bioengineering; Environmental engineering; Biogeochemistry, biogeochemical cycles, environmental chemistry; Ecotoxicology, biohazards and biosafety; Marine biology and ecology</t>
  </si>
  <si>
    <t>Ecotoxicology, biohazards and biosafety; Environmental biotechnology and bioengineering; Chemical biology; Environment chemistry; Sustainability sciences, environment and resources, ecosystem services; Biodiversity</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</si>
  <si>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</si>
  <si>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</si>
  <si>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Sustainability sciences, environment and resources, ecosystem services; Biomass production and utilisation, biofuels; Environmental engineering; Management; Operations management, international management; Innovation, research &amp; development, entrepreneurship</t>
  </si>
  <si>
    <t>Climatology and climate change; Sustainability sciences, environment and resources, ecosystem services; Environmental and climate change, societal impact and policy; Political systems, governance; Land use and planning; Macroeconomics</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</si>
  <si>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</si>
  <si>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</si>
  <si>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</si>
  <si>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Terrestrial ecology, land cover change; Earth observations from space/remote sensing; Machine learning, statistical data processing, computing with artificial neural networks; Sustainability sciences; Ecosystem and community ecology, macroecology; Artificial intelligence</t>
  </si>
  <si>
    <t>Cryosphere, dynamics of snow and ice cover, sea ice, permafrosts and ice sheets; Oceanography (physical, chemical, biological, geological); Marine biology and ecology; Climatology and climate change; Ecosystem and community ecology; Biogeochemistry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</si>
  <si>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</si>
  <si>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</si>
  <si>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</si>
  <si>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</si>
  <si>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Sustainability sciences; Oceanography; International relations; Political systems, governance; Environmental and climate change; Marine biology; Artificial intelligence</t>
  </si>
  <si>
    <t>Social aspects of health, ageing and society; Social structure, social mobility, social innovation; Macroeconomics; Political systems, governance; Sustainability sciences; Social studies of science and technology; Social attitudes and beliefs</t>
  </si>
  <si>
    <t>International relations; Environmental and climate change; Marine biology; Oceanography; Communication and information; Sustainability sciences</t>
  </si>
  <si>
    <t>International relations; Environmental and climate change; Communication and information; Social innovation; Conservation biology; Oceanography</t>
  </si>
  <si>
    <t>Atmospheric chemistry; Earth system modelling; Climatology and climate change; Earth observations from space; Artificial intelligence; International relations</t>
  </si>
  <si>
    <t>Databases, web and information systems; Artificial intelligence; Innovation, research &amp; development, entrepreneurship; Management; GIS, spatial analysis; Social innovation</t>
  </si>
  <si>
    <t>Earth observations from space; Environmental and climate change; Sustainability sciences; Communication and information; Political systems, governance; Social innovation</t>
  </si>
  <si>
    <t>Artificial intelligence; Food biotechnology; Marketing, consumer behaviour; Sustainability sciences; Databases; Social innovation</t>
  </si>
  <si>
    <t>Sustainability sciences; Communication and information; Social aspects of teaching and learning; Innovation; Social innovation; Management</t>
  </si>
  <si>
    <t>Social aspects of teaching and learning; Management; Social structure, social mobility, social innovation; Sustainability sciences; Innovation; Social attitudes and beliefs</t>
  </si>
  <si>
    <t>Earth observations from space; Artificial intelligence; Earth system modelling; Sustainability sciences; Innovation; Machine learning</t>
  </si>
  <si>
    <t>Earth observations from space; Databases, web and information systems; Innovation; Sustainability sciences; Artificial intelligence; Political systems, governance</t>
  </si>
  <si>
    <t>Sustainability sciences; Management; Social structure, social mobility, social innovation; Personality and social cognition; Emotion; Social attitudes and beliefs; Political systems, governance</t>
  </si>
  <si>
    <t>Macroeconomics; Microeconomics; Management; Innovation; Sustainability sciences; Land use and planning</t>
  </si>
  <si>
    <t>International relations, global and transnational governance; Sustainability sciences; Innovation, research &amp; development, entrepreneurship; Social innovation; Management</t>
  </si>
  <si>
    <t>Artificial intelligence; Innovation, research &amp; development, entrepreneurship; Sustainability sciences; Social aspects of teaching and learning; Political systems, governance</t>
  </si>
  <si>
    <t>Social aspects of health, ageing and society; Social aspects of teaching and learning; Social structure, social mobility, social innovation; Entrepreneurship; Political systems, governance</t>
  </si>
  <si>
    <t>Political systems, governance; Sustainability sciences; International relations; Communication and information; Management; Social innovation</t>
  </si>
  <si>
    <t>Funding Body</t>
  </si>
  <si>
    <t>European Comission</t>
  </si>
  <si>
    <t>Programme</t>
  </si>
  <si>
    <t>Subprogramme</t>
  </si>
  <si>
    <t>Horizone Europe</t>
  </si>
  <si>
    <t>Pilar II - Global Challenges &amp; European Industrial Competitiveness</t>
  </si>
  <si>
    <t>European Commission</t>
  </si>
  <si>
    <t>CERV-2026-GE-WORK-LIFE</t>
  </si>
  <si>
    <t>CERV-2026-GE-PAY-TRANSP-DIR</t>
  </si>
  <si>
    <t>CERV-2026-GE-EQUAL-PART-REP</t>
  </si>
  <si>
    <t>CERV-2026-GE-GENDER-STEREO</t>
  </si>
  <si>
    <t>Worldwide Cancer Research</t>
  </si>
  <si>
    <t>Life Sciences</t>
  </si>
  <si>
    <t>FG12</t>
  </si>
  <si>
    <t>Flexible Grants for Small Groups (FG12)</t>
  </si>
  <si>
    <t>Discipline</t>
  </si>
  <si>
    <t>Research Fields</t>
  </si>
  <si>
    <t>Call Website</t>
  </si>
  <si>
    <t>Wellcome Trust</t>
  </si>
  <si>
    <t>Genomics in Context Awards</t>
  </si>
  <si>
    <t>Single Stage</t>
  </si>
  <si>
    <t>General</t>
  </si>
  <si>
    <t>MSCA Staff Exchanges 2026</t>
  </si>
  <si>
    <t>https://wellcome.org/research-funding/schemes/genomics-in-context-awards</t>
  </si>
  <si>
    <t>https://isrf.org/competitions/fg12</t>
  </si>
  <si>
    <t>https://www.povertyactionlab.org/initiative/evidence-ai-health-evah-rfp</t>
  </si>
  <si>
    <t>https://www.worldwidecancerresearch.org/for-researchers/our-funding-criteria/</t>
  </si>
  <si>
    <t>https://ec.europa.eu/info/funding-tenders/opportunities/docs/2021-2027/cerv/wp-call/2026/call-fiche_cerv-2026-ge_en.pdf</t>
  </si>
  <si>
    <t>ERASMUS-EDU-2026-POL-EXP</t>
  </si>
  <si>
    <t>European Policy Experimentations</t>
  </si>
  <si>
    <t>https://ec.europa.eu/info/funding-tenders/opportunities/docs/2021-2027/erasmus/wp-call/2026/call-fiche_erasmus-edu-2026-pol-exp_en.pdf</t>
  </si>
  <si>
    <t>EMBO</t>
  </si>
  <si>
    <t>EMBO Postdoctoral Fellowships</t>
  </si>
  <si>
    <t>https://www.embo.org/funding/fellowships-grants-and-career-support/postdoctoral-fellowships/application/</t>
  </si>
  <si>
    <t>Pillar I - Excellent Science</t>
  </si>
  <si>
    <t>BE READY Partnership</t>
  </si>
  <si>
    <t>Two Stage</t>
  </si>
  <si>
    <t>https://beready4pandemics.eu/joint-transnational-calls/</t>
  </si>
  <si>
    <t>Food, Bioeconomy, Natural Resources, Agriculture and Environment</t>
  </si>
  <si>
    <t>https://eupahw.ptj.de/call2</t>
  </si>
  <si>
    <t>https://ec.europa.eu/info/funding-tenders/opportunities/portal/screen/opportunities/topic-details/horizon-hlth-2026-01-stayhlth-02</t>
  </si>
  <si>
    <t>https://ec.europa.eu/info/funding-tenders/opportunities/portal/screen/opportunities/topic-details/horizon-hlth-2026-01-stayhlth-03</t>
  </si>
  <si>
    <t>https://ec.europa.eu/info/funding-tenders/opportunities/portal/screen/opportunities/topic-details/horizon-hlth-2027-01-stayhlth-01</t>
  </si>
  <si>
    <t>https://ec.europa.eu/info/funding-tenders/opportunities/portal/screen/opportunities/topic-details/horizon-hlth-2026-01-envhlth-01</t>
  </si>
  <si>
    <t>https://ec.europa.eu/info/funding-tenders/opportunities/portal/screen/opportunities/topic-details/horizon-hlth-2026-01-envhlth-04</t>
  </si>
  <si>
    <t>Horizon Europe</t>
  </si>
  <si>
    <t>HORIZON-MSCA-2026-SE-01</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</si>
  <si>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</si>
  <si>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</si>
  <si>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</si>
  <si>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</si>
  <si>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</si>
  <si>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</si>
  <si>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International Grants</t>
  </si>
  <si>
    <t>Genomics; Bioethics; Transdisciplinary; Humanities; Social Sciences; Precision Medicine; Health Inequalities; AI in Genomics</t>
  </si>
  <si>
    <t>LS2 Integrative Biology: From Genes and Genomes to Systems;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</si>
  <si>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</si>
  <si>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</si>
  <si>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</si>
  <si>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</si>
  <si>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Independent Social Research Foundation (ISRF)</t>
  </si>
  <si>
    <t>Culture, Creativity and Inclusive Society</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</si>
  <si>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</si>
  <si>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</si>
  <si>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</si>
  <si>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</si>
  <si>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J-PAL / APHRC</t>
  </si>
  <si>
    <t>Digital, Industry and Space</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</si>
  <si>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</si>
  <si>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</si>
  <si>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</si>
  <si>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</si>
  <si>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</si>
  <si>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</si>
  <si>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</si>
  <si>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</si>
  <si>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</si>
  <si>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</si>
  <si>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 Grant Round 2026</t>
  </si>
  <si>
    <t>Cancer Biology; Translational Research; Basic Research; Oncology; Hypothesis-driven; Global Funding; Cancer Prevention; Early-stage Research</t>
  </si>
  <si>
    <t>LS3 Cellular, Developmental and Regenerative Biology; LS4 Physiology in Health, Disease and Ageing</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</si>
  <si>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</si>
  <si>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</si>
  <si>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</si>
  <si>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Citizens, Equality, Rights and Values Programme (CERV)</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</si>
  <si>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</si>
  <si>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</si>
  <si>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</si>
  <si>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</si>
  <si>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</si>
  <si>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</si>
  <si>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</si>
  <si>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</si>
  <si>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</si>
  <si>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</si>
  <si>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</si>
  <si>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</si>
  <si>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</si>
  <si>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</si>
  <si>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</si>
  <si>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</si>
  <si>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Priority 4: Tackling gender stereotypes in media and advertising</t>
  </si>
  <si>
    <t>Gender Stereotypes; Media Representation; Advertising; Social Media; Youth Empowerment; Positive Portrayals</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</si>
  <si>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</si>
  <si>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</si>
  <si>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</si>
  <si>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</si>
  <si>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</si>
  <si>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</si>
  <si>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</si>
  <si>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</si>
  <si>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Life Sciences; Molecular Biology; International Mobility; Postdoctoral Research; Career Development; Networking</t>
  </si>
  <si>
    <t>LS1 Molecules of Life; LS3 Cellular, Developmental and Regenerative Biology</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</si>
  <si>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</si>
  <si>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</si>
  <si>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</si>
  <si>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</si>
  <si>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</si>
  <si>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</si>
  <si>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AI in Health; Clinical Decision Support; Early Deployment; Primary Health Care; Health Equity; Global South</t>
  </si>
  <si>
    <t>Funds evaluations of AI-enabled clinical decision support tools in primary care settings in Africa and Asia. Pathway A focuses on early deployment and pilot studies to test feasibility and safety in real-world clinical workflows. It seeks to identify initial implementation barriers and ensure responsible AI use.</t>
  </si>
  <si>
    <t>Feasibility assessments; identification of deployment barriers; initial safety data for AI in primary care.</t>
  </si>
  <si>
    <t>Pilots for AI tools assisting in diagnosis or treatment planning; emphasis on equity and alignment with local health system needs.</t>
  </si>
  <si>
    <t>Impact Evaluation; AI in Health; RCT; Global Health; Evidence-based Policy; Clinical Decision Support</t>
  </si>
  <si>
    <t>Focuses on rigorous impact evaluations for mature AI-enabled health tools ready for scale. It generates actionable evidence for Ministries of Health regarding effectiveness and equity. The goal is to measure if these tools significantly improve patient outcomes and system efficiency in the Global South.</t>
  </si>
  <si>
    <t>Quantified impact metrics; evidence for national scaling decisions; insights into cost-effectiveness of AI integration.</t>
  </si>
  <si>
    <t>Randomized Controlled Trials (RCTs) or other experimental designs measuring the impact of AI on health delivery in LMICs.</t>
  </si>
  <si>
    <t>Pillar II - Global Challenges &amp; European Industrial Competitiveness</t>
  </si>
  <si>
    <t>Advancing knowledge of host and pathogen dynamics</t>
  </si>
  <si>
    <t>Pandemic Preparedness; Infectious Diseases; One Health; Pathogen Dynamics; Viral Research; Therapeutics</t>
  </si>
  <si>
    <t>Horizon Europe Project Grant</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</si>
  <si>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</si>
  <si>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</si>
  <si>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</si>
  <si>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EUPAHW Partnership</t>
  </si>
  <si>
    <t>Shaping the Future of Animal Health and Welfare</t>
  </si>
  <si>
    <t>Animal Welfare; Animal Health; One Health; Livestock; Aquaculture; Infectious Diseases; Vaccines</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</si>
  <si>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</si>
  <si>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</si>
  <si>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</si>
  <si>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</si>
  <si>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</si>
  <si>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</si>
  <si>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 xml:space="preserve">Other EU Funding Programmes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</si>
</sst>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5" x14ac:knownFonts="1">
    <font>
      <sz val="11"/>
      <color theme="1"/>
      <name val="Aptos Narrow"/>
      <family val="2"/>
      <scheme val="minor"/>
    </font>
    <font>
      <b/>
      <sz val="9"/>
      <color theme="0"/>
      <name val="Arial"/>
      <family val="2"/>
    </font>
    <font>
      <sz val="9"/>
      <color theme="1"/>
      <name val="Arial"/>
      <family val="2"/>
    </font>
    <font>
      <sz val="9"/>
      <color rgb="FF303030"/>
      <name val="Arial"/>
      <family val="2"/>
    </font>
    <font>
      <u/>
      <sz val="11"/>
      <color theme="10"/>
      <name val="Aptos Narrow"/>
      <family val="2"/>
      <scheme val="minor"/>
    </font>
  </fonts>
  <fills count="3">
    <fill>
      <patternFill patternType="none"/>
    </fill>
    <fill>
      <patternFill patternType="gray125"/>
    </fill>
    <fill>
      <patternFill patternType="solid">
        <fgColor theme="4"/>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medium">
        <color rgb="FF000000"/>
      </left>
      <right style="medium">
        <color rgb="FF000000"/>
      </right>
      <top style="medium">
        <color rgb="FF000000"/>
      </top>
      <bottom style="medium">
        <color rgb="FF000000"/>
      </bottom>
      <diagonal/>
    </border>
    <border>
      <left/>
      <right style="thin">
        <color indexed="64"/>
      </right>
      <top style="medium">
        <color rgb="FF000000"/>
      </top>
      <bottom style="medium">
        <color rgb="FF000000"/>
      </bottom>
      <diagonal/>
    </border>
    <border>
      <left/>
      <right/>
      <top style="thin">
        <color indexed="64"/>
      </top>
      <bottom/>
      <diagonal/>
    </border>
    <border>
      <left/>
      <right style="thin">
        <color indexed="64"/>
      </right>
      <top style="medium">
        <color rgb="FF000000"/>
      </top>
      <bottom/>
      <diagonal/>
    </border>
    <border>
      <left style="medium">
        <color rgb="FF000000"/>
      </left>
      <right style="medium">
        <color rgb="FF000000"/>
      </right>
      <top style="medium">
        <color rgb="FF000000"/>
      </top>
      <bottom/>
      <diagonal/>
    </border>
    <border>
      <left style="medium">
        <color rgb="FFCCCCCC"/>
      </left>
      <right style="medium">
        <color rgb="FFCCCCCC"/>
      </right>
      <top style="medium">
        <color rgb="FFCCCCCC"/>
      </top>
      <bottom style="medium">
        <color rgb="FFCCCCCC"/>
      </bottom>
      <diagonal/>
    </border>
  </borders>
  <cellStyleXfs count="2">
    <xf numFmtId="0" fontId="0" fillId="0" borderId="0"/>
    <xf numFmtId="0" fontId="4" fillId="0" borderId="0" applyNumberFormat="0" applyFill="0" applyBorder="0" applyAlignment="0" applyProtection="0"/>
  </cellStyleXfs>
  <cellXfs count="57">
    <xf numFmtId="0" fontId="0" fillId="0" borderId="0" xfId="0"/>
    <xf numFmtId="0" fontId="1" fillId="2" borderId="5"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3" fillId="0" borderId="7" xfId="0" applyFont="1" applyBorder="1" applyAlignment="1">
      <alignment vertical="center" wrapText="1"/>
    </xf>
    <xf numFmtId="0" fontId="3" fillId="0" borderId="3" xfId="0" applyFont="1" applyBorder="1" applyAlignment="1">
      <alignment vertical="center" wrapText="1"/>
    </xf>
    <xf numFmtId="0" fontId="3" fillId="0" borderId="3" xfId="0" applyFont="1" applyBorder="1" applyAlignment="1">
      <alignment vertical="top" wrapText="1"/>
    </xf>
    <xf numFmtId="14" fontId="3" fillId="0" borderId="3" xfId="0" applyNumberFormat="1" applyFont="1" applyBorder="1" applyAlignment="1">
      <alignment vertical="center" wrapText="1"/>
    </xf>
    <xf numFmtId="14" fontId="3" fillId="0" borderId="8" xfId="0" applyNumberFormat="1" applyFont="1" applyBorder="1" applyAlignment="1">
      <alignment vertical="center" wrapText="1"/>
    </xf>
    <xf numFmtId="0" fontId="3" fillId="0" borderId="2" xfId="0" applyFont="1" applyBorder="1" applyAlignment="1">
      <alignment vertical="center" wrapText="1"/>
    </xf>
    <xf numFmtId="0" fontId="3" fillId="0" borderId="2" xfId="0" applyFont="1" applyBorder="1" applyAlignment="1">
      <alignment vertical="top" wrapText="1"/>
    </xf>
    <xf numFmtId="14" fontId="3" fillId="0" borderId="2" xfId="0" applyNumberFormat="1" applyFont="1" applyBorder="1" applyAlignment="1">
      <alignment vertical="center" wrapText="1"/>
    </xf>
    <xf numFmtId="14" fontId="3" fillId="0" borderId="9" xfId="0" applyNumberFormat="1" applyFont="1" applyBorder="1" applyAlignment="1">
      <alignment vertical="center" wrapText="1"/>
    </xf>
    <xf numFmtId="0" fontId="3" fillId="0" borderId="1" xfId="0" applyFont="1" applyBorder="1" applyAlignment="1">
      <alignment vertical="center" wrapText="1"/>
    </xf>
    <xf numFmtId="0" fontId="3" fillId="0" borderId="1" xfId="0" applyFont="1" applyBorder="1" applyAlignment="1">
      <alignment vertical="top" wrapText="1"/>
    </xf>
    <xf numFmtId="14" fontId="3" fillId="0" borderId="1" xfId="0" applyNumberFormat="1" applyFont="1" applyBorder="1" applyAlignment="1">
      <alignment vertical="center" wrapText="1"/>
    </xf>
    <xf numFmtId="14" fontId="3" fillId="0" borderId="10" xfId="0" applyNumberFormat="1" applyFont="1" applyBorder="1" applyAlignment="1">
      <alignment vertical="center" wrapText="1"/>
    </xf>
    <xf numFmtId="0" fontId="3" fillId="0" borderId="4" xfId="0" applyFont="1" applyBorder="1" applyAlignment="1">
      <alignment vertical="center" wrapText="1"/>
    </xf>
    <xf numFmtId="0" fontId="3" fillId="0" borderId="4" xfId="0" applyFont="1" applyBorder="1" applyAlignment="1">
      <alignment vertical="top" wrapText="1"/>
    </xf>
    <xf numFmtId="14" fontId="3" fillId="0" borderId="4" xfId="0" applyNumberFormat="1" applyFont="1" applyBorder="1" applyAlignment="1">
      <alignment vertical="center" wrapText="1"/>
    </xf>
    <xf numFmtId="14" fontId="3" fillId="0" borderId="11" xfId="0" applyNumberFormat="1" applyFont="1" applyBorder="1" applyAlignment="1">
      <alignment vertical="center" wrapText="1"/>
    </xf>
    <xf numFmtId="0" fontId="3" fillId="0" borderId="10" xfId="0" applyFont="1" applyBorder="1" applyAlignment="1">
      <alignment vertical="center" wrapText="1"/>
    </xf>
    <xf numFmtId="0" fontId="3" fillId="0" borderId="9" xfId="0" applyFont="1" applyBorder="1" applyAlignment="1">
      <alignment vertical="center" wrapText="1"/>
    </xf>
    <xf numFmtId="164" fontId="3" fillId="0" borderId="1" xfId="0" applyNumberFormat="1" applyFont="1" applyBorder="1" applyAlignment="1">
      <alignment vertical="center" wrapText="1"/>
    </xf>
    <xf numFmtId="164" fontId="3" fillId="0" borderId="10" xfId="0" applyNumberFormat="1" applyFont="1" applyBorder="1" applyAlignment="1">
      <alignment vertical="center" wrapText="1"/>
    </xf>
    <xf numFmtId="0" fontId="3" fillId="0" borderId="6" xfId="0" applyFont="1" applyBorder="1" applyAlignment="1">
      <alignment vertical="center" wrapText="1"/>
    </xf>
    <xf numFmtId="164" fontId="3" fillId="0" borderId="2" xfId="0" applyNumberFormat="1" applyFont="1" applyBorder="1" applyAlignment="1">
      <alignment vertical="center" wrapText="1"/>
    </xf>
    <xf numFmtId="164" fontId="3" fillId="0" borderId="9" xfId="0" applyNumberFormat="1" applyFont="1" applyBorder="1" applyAlignment="1">
      <alignment vertical="center" wrapText="1"/>
    </xf>
    <xf numFmtId="0" fontId="2" fillId="0" borderId="2" xfId="0" applyFont="1" applyBorder="1" applyAlignment="1">
      <alignment vertical="top" wrapText="1"/>
    </xf>
    <xf numFmtId="0" fontId="2" fillId="0" borderId="9" xfId="0" applyFont="1" applyBorder="1" applyAlignment="1">
      <alignment vertical="top" wrapText="1"/>
    </xf>
    <xf numFmtId="0" fontId="2" fillId="0" borderId="0" xfId="0" applyFont="1" applyAlignment="1">
      <alignment vertical="top" wrapText="1"/>
    </xf>
    <xf numFmtId="0" fontId="2" fillId="0" borderId="3" xfId="0" applyFont="1" applyBorder="1" applyAlignment="1">
      <alignment vertical="top" wrapText="1"/>
    </xf>
    <xf numFmtId="0" fontId="2" fillId="0" borderId="8" xfId="0" applyFont="1" applyBorder="1" applyAlignment="1">
      <alignment vertical="top" wrapText="1"/>
    </xf>
    <xf numFmtId="0" fontId="2" fillId="0" borderId="1" xfId="0" applyFont="1" applyBorder="1" applyAlignment="1">
      <alignment vertical="top" wrapText="1"/>
    </xf>
    <xf numFmtId="0" fontId="2" fillId="0" borderId="10" xfId="0" applyFont="1" applyBorder="1" applyAlignment="1">
      <alignment vertical="top" wrapText="1"/>
    </xf>
    <xf numFmtId="0" fontId="2" fillId="0" borderId="4" xfId="0" applyFont="1" applyBorder="1" applyAlignment="1">
      <alignment vertical="top" wrapText="1"/>
    </xf>
    <xf numFmtId="0" fontId="2" fillId="0" borderId="11" xfId="0" applyFont="1" applyBorder="1" applyAlignment="1">
      <alignment vertical="top" wrapText="1"/>
    </xf>
    <xf numFmtId="0" fontId="3" fillId="0" borderId="5" xfId="0" applyFont="1" applyBorder="1" applyAlignment="1">
      <alignment vertical="center" wrapText="1"/>
    </xf>
    <xf numFmtId="0" fontId="3" fillId="0" borderId="12" xfId="0" applyFont="1" applyBorder="1" applyAlignment="1">
      <alignment vertical="center" wrapText="1"/>
    </xf>
    <xf numFmtId="0" fontId="3" fillId="0" borderId="14" xfId="0" applyFont="1" applyBorder="1" applyAlignment="1">
      <alignment vertical="center" wrapText="1"/>
    </xf>
    <xf numFmtId="0" fontId="3" fillId="0" borderId="15" xfId="0" applyFont="1" applyBorder="1" applyAlignment="1">
      <alignment vertical="center" wrapText="1"/>
    </xf>
    <xf numFmtId="0" fontId="3" fillId="0" borderId="16" xfId="0" applyFont="1" applyBorder="1" applyAlignment="1">
      <alignment vertical="center" wrapText="1"/>
    </xf>
    <xf numFmtId="49" fontId="4" fillId="0" borderId="18" xfId="1" applyNumberFormat="1" applyBorder="1" applyAlignment="1">
      <alignment vertical="center"/>
    </xf>
    <xf numFmtId="49" fontId="3" fillId="0" borderId="13" xfId="1" applyNumberFormat="1" applyFont="1" applyFill="1" applyBorder="1" applyAlignment="1">
      <alignment vertical="center" wrapText="1"/>
    </xf>
    <xf numFmtId="49" fontId="3" fillId="0" borderId="17" xfId="1" applyNumberFormat="1" applyFont="1" applyFill="1" applyBorder="1" applyAlignment="1">
      <alignment vertical="center" wrapText="1"/>
    </xf>
    <xf numFmtId="0" fontId="3" fillId="0" borderId="7" xfId="0" applyFont="1" applyFill="1" applyBorder="1" applyAlignment="1">
      <alignment vertical="center" wrapText="1"/>
    </xf>
    <xf numFmtId="0" fontId="3" fillId="0" borderId="10" xfId="0" applyFont="1" applyFill="1" applyBorder="1" applyAlignment="1">
      <alignment vertical="center" wrapText="1"/>
    </xf>
    <xf numFmtId="0" fontId="3" fillId="0" borderId="1" xfId="0" applyFont="1" applyFill="1" applyBorder="1" applyAlignment="1">
      <alignment vertical="top" wrapText="1"/>
    </xf>
    <xf numFmtId="0" fontId="3" fillId="0" borderId="1" xfId="0" applyFont="1" applyFill="1" applyBorder="1" applyAlignment="1">
      <alignment vertical="center" wrapText="1"/>
    </xf>
    <xf numFmtId="164" fontId="3" fillId="0" borderId="1" xfId="0" applyNumberFormat="1" applyFont="1" applyFill="1" applyBorder="1" applyAlignment="1">
      <alignment vertical="center" wrapText="1"/>
    </xf>
    <xf numFmtId="164" fontId="3" fillId="0" borderId="10" xfId="0" applyNumberFormat="1" applyFont="1" applyFill="1" applyBorder="1" applyAlignment="1">
      <alignment vertical="center" wrapText="1"/>
    </xf>
    <xf numFmtId="0" fontId="3" fillId="0" borderId="2" xfId="0" applyFont="1" applyFill="1" applyBorder="1" applyAlignment="1">
      <alignment vertical="top" wrapText="1"/>
    </xf>
    <xf numFmtId="0" fontId="3" fillId="0" borderId="2" xfId="0" applyFont="1" applyFill="1" applyBorder="1" applyAlignment="1">
      <alignment vertical="center" wrapText="1"/>
    </xf>
    <xf numFmtId="164" fontId="3" fillId="0" borderId="2" xfId="0" applyNumberFormat="1" applyFont="1" applyFill="1" applyBorder="1" applyAlignment="1">
      <alignment vertical="center" wrapText="1"/>
    </xf>
    <xf numFmtId="164" fontId="3" fillId="0" borderId="9" xfId="0" applyNumberFormat="1" applyFont="1" applyFill="1" applyBorder="1" applyAlignment="1">
      <alignment vertical="center" wrapText="1"/>
    </xf>
    <xf numFmtId="0" fontId="3" fillId="0" borderId="6" xfId="0" applyFont="1" applyFill="1" applyBorder="1" applyAlignment="1">
      <alignment vertical="center" wrapText="1"/>
    </xf>
    <xf numFmtId="0" fontId="3" fillId="0" borderId="9" xfId="0" applyFont="1" applyFill="1" applyBorder="1" applyAlignment="1">
      <alignment vertical="center" wrapText="1"/>
    </xf>
  </cellXfs>
  <cellStyles count="2">
    <cellStyle name="Hyperlink" xfId="1" builtinId="8"/>
    <cellStyle name="Normal" xfId="0" builtinId="0"/>
  </cellStyles>
  <dxfs count="21">
    <dxf>
      <font>
        <b val="0"/>
        <i val="0"/>
        <strike val="0"/>
        <condense val="0"/>
        <extend val="0"/>
        <outline val="0"/>
        <shadow val="0"/>
        <u val="none"/>
        <vertAlign val="baseline"/>
        <sz val="9"/>
        <color rgb="FF303030"/>
        <name val="Arial"/>
        <family val="2"/>
        <scheme val="none"/>
      </font>
      <numFmt numFmtId="30" formatCode="@"/>
      <fill>
        <patternFill patternType="none">
          <fgColor indexed="64"/>
          <bgColor indexed="65"/>
        </patternFill>
      </fill>
      <alignment horizontal="general" vertical="center" textRotation="0" wrapText="1" indent="0" justifyLastLine="0" shrinkToFit="0" readingOrder="0"/>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numFmt numFmtId="164" formatCode="d/m/yyyy"/>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style="thin">
          <color indexed="64"/>
        </right>
        <top/>
        <bottom style="thin">
          <color indexed="64"/>
        </bottom>
        <vertical/>
        <horizontal/>
      </border>
    </dxf>
    <dxf>
      <font>
        <b val="0"/>
        <i val="0"/>
        <strike val="0"/>
        <condense val="0"/>
        <extend val="0"/>
        <outline val="0"/>
        <shadow val="0"/>
        <u val="none"/>
        <vertAlign val="baseline"/>
        <sz val="9"/>
        <color rgb="FF303030"/>
        <name val="Arial"/>
        <family val="2"/>
        <scheme val="none"/>
      </font>
      <alignment horizontal="general" vertical="center" textRotation="0" wrapText="1" indent="0" justifyLastLine="0" shrinkToFit="0" readingOrder="0"/>
      <border diagonalUp="0" diagonalDown="0">
        <left/>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303030"/>
        <name val="Arial"/>
        <family val="2"/>
        <scheme val="none"/>
      </font>
      <fill>
        <patternFill patternType="none">
          <fgColor indexed="64"/>
          <bgColor indexed="65"/>
        </patternFill>
      </fill>
      <alignment horizontal="general"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9"/>
        <color theme="0"/>
        <name val="Arial"/>
        <family val="2"/>
        <scheme val="none"/>
      </font>
      <fill>
        <patternFill patternType="solid">
          <fgColor indexed="64"/>
          <bgColor theme="4"/>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A596338-B0D6-405E-81D9-5DDABE300A03}" name="Tabla223" displayName="Tabla223" ref="A1:Q433" totalsRowShown="0" headerRowDxfId="20" dataDxfId="18" headerRowBorderDxfId="19" tableBorderDxfId="17">
  <autoFilter ref="A1:Q433" xr:uid="{4A596338-B0D6-405E-81D9-5DDABE300A03}"/>
  <tableColumns count="17">
    <tableColumn id="14" xr3:uid="{B87BB818-8FE6-43E2-8F2B-27E52C7128D6}" name="Funding Body" dataDxfId="16"/>
    <tableColumn id="15" xr3:uid="{DCAFEF48-CA92-4EE3-95EB-E09F9BF2D96A}" name="Programme" dataDxfId="15"/>
    <tableColumn id="16" xr3:uid="{BE2C530B-935F-4942-B995-68FB1ACCFFE4}" name="Subprogramme" dataDxfId="14"/>
    <tableColumn id="1" xr3:uid="{9CF35B10-5DCB-420C-BAF5-7195D99534D3}" name="Discipline" dataDxfId="13"/>
    <tableColumn id="2" xr3:uid="{470220DA-9ED3-4913-BF21-4A7932FBB0D0}" name="Call ID" dataDxfId="12"/>
    <tableColumn id="3" xr3:uid="{4A56856E-C81A-489D-8C67-3E9CAF5C7C5D}" name="Call Title" dataDxfId="11"/>
    <tableColumn id="4" xr3:uid="{18144071-7E84-4B3B-AC7D-4B4D9ED3C827}" name="Keywords" dataDxfId="10"/>
    <tableColumn id="11" xr3:uid="{3F1379DC-1AD3-40F8-A530-7AA9CDB2CD34}" name="SSH Keywords" dataDxfId="9"/>
    <tableColumn id="5" xr3:uid="{B01F1BB0-0042-4325-9748-5D9781A272C4}" name="Research Fields" dataDxfId="8"/>
    <tableColumn id="6" xr3:uid="{988AC1BC-3D71-46E0-91F9-6FA7F6B50CEB}" name="Summary" dataDxfId="7"/>
    <tableColumn id="7" xr3:uid="{343DBB77-1772-425B-AE0D-F4D31E1119AE}" name="Type of Action" dataDxfId="6"/>
    <tableColumn id="8" xr3:uid="{D86AF555-7A22-4E12-94A3-B83534AFDF7D}" name="Single Stage or Two Stage" dataDxfId="5"/>
    <tableColumn id="9" xr3:uid="{E1534610-B198-43F3-B207-24177120E226}" name="Opening date" dataDxfId="4"/>
    <tableColumn id="10" xr3:uid="{A2A5835B-E34A-4051-AB3A-4E5302C00AF3}" name="Deadline(s)" dataDxfId="3"/>
    <tableColumn id="12" xr3:uid="{367D2B95-F37D-49C1-B773-3E1A96F74318}" name="Expected Outcomes" dataDxfId="2"/>
    <tableColumn id="13" xr3:uid="{F7D69A8D-20A4-4588-82D2-90B3B1179E93}" name="Scope" dataDxfId="1"/>
    <tableColumn id="17" xr3:uid="{BE676C14-B3DA-4987-80E8-8D71E16B8410}" name="Call Website" data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srf.org/competitions/fg12" TargetMode="External"/><Relationship Id="rId13" Type="http://schemas.openxmlformats.org/officeDocument/2006/relationships/hyperlink" Target="https://ec.europa.eu/info/funding-tenders/opportunities/docs/2021-2027/cerv/wp-call/2026/call-fiche_cerv-2026-ge_en.pdf" TargetMode="External"/><Relationship Id="rId18" Type="http://schemas.openxmlformats.org/officeDocument/2006/relationships/hyperlink" Target="https://www.povertyactionlab.org/initiative/evidence-ai-health-evah-rfp" TargetMode="External"/><Relationship Id="rId3" Type="http://schemas.openxmlformats.org/officeDocument/2006/relationships/hyperlink" Target="https://ec.europa.eu/info/funding-tenders/opportunities/portal/screen/opportunities/topic-details/horizon-hlth-2027-01-stayhlth-01" TargetMode="External"/><Relationship Id="rId21" Type="http://schemas.openxmlformats.org/officeDocument/2006/relationships/hyperlink" Target="https://eupahw.ptj.de/call2" TargetMode="External"/><Relationship Id="rId7" Type="http://schemas.openxmlformats.org/officeDocument/2006/relationships/hyperlink" Target="https://wellcome.org/research-funding/schemes/genomics-in-context-awards" TargetMode="External"/><Relationship Id="rId12" Type="http://schemas.openxmlformats.org/officeDocument/2006/relationships/hyperlink" Target="https://ec.europa.eu/info/funding-tenders/opportunities/docs/2021-2027/cerv/wp-call/2026/call-fiche_cerv-2026-ge_en.pdf" TargetMode="External"/><Relationship Id="rId17" Type="http://schemas.openxmlformats.org/officeDocument/2006/relationships/hyperlink" Target="https://www.embo.org/funding/fellowships-grants-and-career-support/postdoctoral-fellowships/application/" TargetMode="External"/><Relationship Id="rId2" Type="http://schemas.openxmlformats.org/officeDocument/2006/relationships/hyperlink" Target="https://ec.europa.eu/info/funding-tenders/opportunities/portal/screen/opportunities/topic-details/horizon-hlth-2026-01-stayhlth-03" TargetMode="External"/><Relationship Id="rId16" Type="http://schemas.openxmlformats.org/officeDocument/2006/relationships/hyperlink" Target="https://ec.europa.eu/info/funding-tenders/opportunities/docs/2021-2027/erasmus/wp-call/2026/call-fiche_erasmus-edu-2026-pol-exp_en.pdf" TargetMode="External"/><Relationship Id="rId20" Type="http://schemas.openxmlformats.org/officeDocument/2006/relationships/hyperlink" Target="https://beready4pandemics.eu/joint-transnational-calls/" TargetMode="External"/><Relationship Id="rId1" Type="http://schemas.openxmlformats.org/officeDocument/2006/relationships/hyperlink" Target="https://ec.europa.eu/info/funding-tenders/opportunities/portal/screen/opportunities/topic-details/horizon-hlth-2026-01-stayhlth-02"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11" Type="http://schemas.openxmlformats.org/officeDocument/2006/relationships/hyperlink" Target="https://www.worldwidecancerresearch.org/for-researchers/our-funding-criteria/" TargetMode="External"/><Relationship Id="rId5" Type="http://schemas.openxmlformats.org/officeDocument/2006/relationships/hyperlink" Target="https://ec.europa.eu/info/funding-tenders/opportunities/portal/screen/opportunities/topic-details/horizon-hlth-2026-01-envhlth-04" TargetMode="External"/><Relationship Id="rId15" Type="http://schemas.openxmlformats.org/officeDocument/2006/relationships/hyperlink" Target="https://ec.europa.eu/info/funding-tenders/opportunities/docs/2021-2027/cerv/wp-call/2026/call-fiche_cerv-2026-ge_en.pdf" TargetMode="External"/><Relationship Id="rId23" Type="http://schemas.openxmlformats.org/officeDocument/2006/relationships/table" Target="../tables/table1.xml"/><Relationship Id="rId10" Type="http://schemas.openxmlformats.org/officeDocument/2006/relationships/hyperlink" Target="https://www.povertyactionlab.org/initiative/evidence-ai-health-evah-rfp" TargetMode="External"/><Relationship Id="rId19" Type="http://schemas.openxmlformats.org/officeDocument/2006/relationships/hyperlink" Target="https://www.povertyactionlab.org/initiative/evidence-ai-health-evah-rfp"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 Id="rId14" Type="http://schemas.openxmlformats.org/officeDocument/2006/relationships/hyperlink" Target="https://ec.europa.eu/info/funding-tenders/opportunities/docs/2021-2027/cerv/wp-call/2026/call-fiche_cerv-2026-ge_en.pdf" TargetMode="External"/><Relationship Id="rId22"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6AEAB-3875-4ACD-B371-A9A66AFF72F4}">
  <dimension ref="A1:Q433"/>
  <sheetViews>
    <sheetView tabSelected="1" topLeftCell="A420" workbookViewId="0">
      <selection activeCell="E424" sqref="E424"/>
    </sheetView>
  </sheetViews>
  <sheetFormatPr defaultRowHeight="66" customHeight="1" x14ac:dyDescent="0.3"/>
  <cols>
    <col min="1" max="1" width="11.88671875" bestFit="1" customWidth="1"/>
    <col min="2" max="2" width="12.6640625" bestFit="1" customWidth="1"/>
    <col min="3" max="3" width="20.109375" customWidth="1"/>
    <col min="4" max="4" width="15.88671875" customWidth="1"/>
    <col min="5" max="5" width="26.6640625" customWidth="1"/>
    <col min="6" max="6" width="28.5546875" customWidth="1"/>
    <col min="7" max="7" width="36.33203125" customWidth="1"/>
    <col min="8" max="8" width="21.109375" customWidth="1"/>
    <col min="9" max="9" width="25" customWidth="1"/>
    <col min="10" max="10" width="38.33203125" customWidth="1"/>
    <col min="11" max="12" width="13.5546875" customWidth="1"/>
    <col min="13" max="13" width="16.6640625" customWidth="1"/>
    <col min="14" max="14" width="28.5546875" customWidth="1"/>
    <col min="15" max="16" width="55" customWidth="1"/>
    <col min="17" max="17" width="127.109375" customWidth="1"/>
  </cols>
  <sheetData>
    <row r="1" spans="1:17" ht="66" customHeight="1" thickBot="1" x14ac:dyDescent="0.35">
      <c r="A1" s="1" t="s">
        <v>2772</v>
      </c>
      <c r="B1" s="1" t="s">
        <v>2774</v>
      </c>
      <c r="C1" s="1" t="s">
        <v>2775</v>
      </c>
      <c r="D1" s="1" t="s">
        <v>2787</v>
      </c>
      <c r="E1" s="2" t="s">
        <v>0</v>
      </c>
      <c r="F1" s="2" t="s">
        <v>1</v>
      </c>
      <c r="G1" s="2" t="s">
        <v>182</v>
      </c>
      <c r="H1" s="2" t="s">
        <v>2466</v>
      </c>
      <c r="I1" s="2" t="s">
        <v>2788</v>
      </c>
      <c r="J1" s="2" t="s">
        <v>2</v>
      </c>
      <c r="K1" s="2" t="s">
        <v>3</v>
      </c>
      <c r="L1" s="2" t="s">
        <v>4</v>
      </c>
      <c r="M1" s="2" t="s">
        <v>5</v>
      </c>
      <c r="N1" s="3" t="s">
        <v>6</v>
      </c>
      <c r="O1" s="2" t="s">
        <v>1496</v>
      </c>
      <c r="P1" s="3" t="s">
        <v>1497</v>
      </c>
      <c r="Q1" s="2" t="s">
        <v>2789</v>
      </c>
    </row>
    <row r="2" spans="1:17" ht="66" customHeight="1" thickBot="1" x14ac:dyDescent="0.35">
      <c r="A2" s="37" t="s">
        <v>2773</v>
      </c>
      <c r="B2" s="37" t="s">
        <v>2776</v>
      </c>
      <c r="C2" s="37" t="s">
        <v>2777</v>
      </c>
      <c r="D2" s="4" t="s">
        <v>1490</v>
      </c>
      <c r="E2" s="5" t="s">
        <v>7</v>
      </c>
      <c r="F2" s="5" t="s">
        <v>8</v>
      </c>
      <c r="G2" s="5" t="s">
        <v>86</v>
      </c>
      <c r="H2" s="6" t="s">
        <v>2358</v>
      </c>
      <c r="I2" s="6" t="s">
        <v>9</v>
      </c>
      <c r="J2" s="6" t="s">
        <v>10</v>
      </c>
      <c r="K2" s="5" t="s">
        <v>11</v>
      </c>
      <c r="L2" s="5" t="s">
        <v>12</v>
      </c>
      <c r="M2" s="7">
        <v>46063</v>
      </c>
      <c r="N2" s="8">
        <v>46128</v>
      </c>
      <c r="O2" s="28" t="s">
        <v>1498</v>
      </c>
      <c r="P2" s="29" t="s">
        <v>1499</v>
      </c>
      <c r="Q2" s="42" t="s">
        <v>2812</v>
      </c>
    </row>
    <row r="3" spans="1:17" ht="66" customHeight="1" thickBot="1" x14ac:dyDescent="0.35">
      <c r="A3" s="37" t="s">
        <v>2773</v>
      </c>
      <c r="B3" s="37" t="s">
        <v>2776</v>
      </c>
      <c r="C3" s="37" t="s">
        <v>2777</v>
      </c>
      <c r="D3" s="4" t="s">
        <v>1487</v>
      </c>
      <c r="E3" s="9" t="s">
        <v>13</v>
      </c>
      <c r="F3" s="9" t="s">
        <v>14</v>
      </c>
      <c r="G3" s="9" t="s">
        <v>2467</v>
      </c>
      <c r="H3" s="10" t="s">
        <v>2359</v>
      </c>
      <c r="I3" s="10" t="s">
        <v>15</v>
      </c>
      <c r="J3" s="10" t="s">
        <v>87</v>
      </c>
      <c r="K3" s="9" t="s">
        <v>16</v>
      </c>
      <c r="L3" s="9" t="s">
        <v>12</v>
      </c>
      <c r="M3" s="11">
        <v>46063</v>
      </c>
      <c r="N3" s="12">
        <v>46128</v>
      </c>
      <c r="O3" s="30" t="s">
        <v>1500</v>
      </c>
      <c r="P3" s="30" t="s">
        <v>1501</v>
      </c>
      <c r="Q3" s="42" t="s">
        <v>2813</v>
      </c>
    </row>
    <row r="4" spans="1:17" ht="66" customHeight="1" thickBot="1" x14ac:dyDescent="0.35">
      <c r="A4" s="37" t="s">
        <v>2773</v>
      </c>
      <c r="B4" s="37" t="s">
        <v>2776</v>
      </c>
      <c r="C4" s="37" t="s">
        <v>2777</v>
      </c>
      <c r="D4" s="4" t="s">
        <v>1487</v>
      </c>
      <c r="E4" s="13" t="s">
        <v>51</v>
      </c>
      <c r="F4" s="13" t="s">
        <v>52</v>
      </c>
      <c r="G4" s="13" t="s">
        <v>88</v>
      </c>
      <c r="H4" s="14" t="s">
        <v>2360</v>
      </c>
      <c r="I4" s="14" t="s">
        <v>89</v>
      </c>
      <c r="J4" s="14" t="s">
        <v>90</v>
      </c>
      <c r="K4" s="13" t="s">
        <v>11</v>
      </c>
      <c r="L4" s="13" t="s">
        <v>12</v>
      </c>
      <c r="M4" s="15">
        <v>46428</v>
      </c>
      <c r="N4" s="16">
        <v>46490</v>
      </c>
      <c r="O4" s="31" t="s">
        <v>1502</v>
      </c>
      <c r="P4" s="32" t="s">
        <v>1503</v>
      </c>
      <c r="Q4" s="42" t="s">
        <v>2814</v>
      </c>
    </row>
    <row r="5" spans="1:17" ht="66" customHeight="1" thickBot="1" x14ac:dyDescent="0.35">
      <c r="A5" s="37" t="s">
        <v>2773</v>
      </c>
      <c r="B5" s="37" t="s">
        <v>2776</v>
      </c>
      <c r="C5" s="37" t="s">
        <v>2777</v>
      </c>
      <c r="D5" s="4" t="s">
        <v>1487</v>
      </c>
      <c r="E5" s="5" t="s">
        <v>17</v>
      </c>
      <c r="F5" s="5" t="s">
        <v>18</v>
      </c>
      <c r="G5" s="5" t="s">
        <v>2468</v>
      </c>
      <c r="H5" s="6" t="s">
        <v>2361</v>
      </c>
      <c r="I5" s="6" t="s">
        <v>19</v>
      </c>
      <c r="J5" s="6" t="s">
        <v>91</v>
      </c>
      <c r="K5" s="5" t="s">
        <v>11</v>
      </c>
      <c r="L5" s="5" t="s">
        <v>12</v>
      </c>
      <c r="M5" s="7">
        <v>46063</v>
      </c>
      <c r="N5" s="8">
        <v>46128</v>
      </c>
      <c r="O5" s="33" t="s">
        <v>1504</v>
      </c>
      <c r="P5" s="34" t="s">
        <v>1505</v>
      </c>
      <c r="Q5" s="42" t="s">
        <v>2815</v>
      </c>
    </row>
    <row r="6" spans="1:17" ht="66" customHeight="1" thickBot="1" x14ac:dyDescent="0.35">
      <c r="A6" s="37" t="s">
        <v>2773</v>
      </c>
      <c r="B6" s="37" t="s">
        <v>2776</v>
      </c>
      <c r="C6" s="37" t="s">
        <v>2777</v>
      </c>
      <c r="D6" s="4" t="s">
        <v>1487</v>
      </c>
      <c r="E6" s="13" t="s">
        <v>53</v>
      </c>
      <c r="F6" s="13" t="s">
        <v>54</v>
      </c>
      <c r="G6" s="13" t="s">
        <v>92</v>
      </c>
      <c r="H6" s="14" t="s">
        <v>2362</v>
      </c>
      <c r="I6" s="14" t="s">
        <v>93</v>
      </c>
      <c r="J6" s="14" t="s">
        <v>94</v>
      </c>
      <c r="K6" s="13" t="s">
        <v>11</v>
      </c>
      <c r="L6" s="13" t="s">
        <v>12</v>
      </c>
      <c r="M6" s="15">
        <v>46063</v>
      </c>
      <c r="N6" s="16">
        <v>46128</v>
      </c>
      <c r="O6" s="28" t="s">
        <v>1506</v>
      </c>
      <c r="P6" s="29" t="s">
        <v>1507</v>
      </c>
      <c r="Q6" s="42" t="s">
        <v>2816</v>
      </c>
    </row>
    <row r="7" spans="1:17" ht="66" customHeight="1" thickBot="1" x14ac:dyDescent="0.35">
      <c r="A7" s="37" t="s">
        <v>2773</v>
      </c>
      <c r="B7" s="37" t="s">
        <v>2776</v>
      </c>
      <c r="C7" s="37" t="s">
        <v>2777</v>
      </c>
      <c r="D7" s="4" t="s">
        <v>1487</v>
      </c>
      <c r="E7" s="9" t="s">
        <v>55</v>
      </c>
      <c r="F7" s="9" t="s">
        <v>56</v>
      </c>
      <c r="G7" s="9" t="s">
        <v>95</v>
      </c>
      <c r="H7" s="10"/>
      <c r="I7" s="10" t="s">
        <v>96</v>
      </c>
      <c r="J7" s="10" t="s">
        <v>97</v>
      </c>
      <c r="K7" s="9" t="s">
        <v>16</v>
      </c>
      <c r="L7" s="9" t="s">
        <v>12</v>
      </c>
      <c r="M7" s="11">
        <v>46063</v>
      </c>
      <c r="N7" s="12">
        <v>46128</v>
      </c>
      <c r="O7" s="30" t="s">
        <v>1508</v>
      </c>
      <c r="P7" s="30" t="s">
        <v>1509</v>
      </c>
      <c r="Q7" s="42" t="str">
        <f>"https://ec.europa.eu/info/funding-tenders/opportunities/portal/screen/opportunities/topic-details/" &amp; E7</f>
        <v>https://ec.europa.eu/info/funding-tenders/opportunities/portal/screen/opportunities/topic-details/HORIZON-HLTH-2026-01-ENVHLTH-05</v>
      </c>
    </row>
    <row r="8" spans="1:17" ht="66" customHeight="1" thickBot="1" x14ac:dyDescent="0.35">
      <c r="A8" s="37" t="s">
        <v>2773</v>
      </c>
      <c r="B8" s="37" t="s">
        <v>2776</v>
      </c>
      <c r="C8" s="37" t="s">
        <v>2777</v>
      </c>
      <c r="D8" s="4" t="s">
        <v>1487</v>
      </c>
      <c r="E8" s="13" t="s">
        <v>57</v>
      </c>
      <c r="F8" s="13" t="s">
        <v>58</v>
      </c>
      <c r="G8" s="13" t="s">
        <v>98</v>
      </c>
      <c r="H8" s="14" t="s">
        <v>2363</v>
      </c>
      <c r="I8" s="14" t="s">
        <v>99</v>
      </c>
      <c r="J8" s="14" t="s">
        <v>100</v>
      </c>
      <c r="K8" s="13" t="s">
        <v>11</v>
      </c>
      <c r="L8" s="13" t="s">
        <v>12</v>
      </c>
      <c r="M8" s="15">
        <v>46428</v>
      </c>
      <c r="N8" s="16">
        <v>46490</v>
      </c>
      <c r="O8" s="30" t="s">
        <v>1510</v>
      </c>
      <c r="P8" s="30" t="s">
        <v>1511</v>
      </c>
      <c r="Q8" s="42" t="str">
        <f>"https://ec.europa.eu/info/funding-tenders/opportunities/portal/screen/opportunities/topic-details/" &amp; E8</f>
        <v>https://ec.europa.eu/info/funding-tenders/opportunities/portal/screen/opportunities/topic-details/HORIZON-HLTH-2027-01-ENVHLTH-02</v>
      </c>
    </row>
    <row r="9" spans="1:17" ht="66" customHeight="1" thickBot="1" x14ac:dyDescent="0.35">
      <c r="A9" s="37" t="s">
        <v>2773</v>
      </c>
      <c r="B9" s="37" t="s">
        <v>2776</v>
      </c>
      <c r="C9" s="37" t="s">
        <v>2777</v>
      </c>
      <c r="D9" s="4" t="s">
        <v>1487</v>
      </c>
      <c r="E9" s="13" t="s">
        <v>59</v>
      </c>
      <c r="F9" s="13" t="s">
        <v>60</v>
      </c>
      <c r="G9" s="13" t="s">
        <v>101</v>
      </c>
      <c r="H9" s="14"/>
      <c r="I9" s="14" t="s">
        <v>42</v>
      </c>
      <c r="J9" s="14" t="s">
        <v>102</v>
      </c>
      <c r="K9" s="13" t="s">
        <v>61</v>
      </c>
      <c r="L9" s="13" t="s">
        <v>12</v>
      </c>
      <c r="M9" s="15">
        <v>46428</v>
      </c>
      <c r="N9" s="16">
        <v>46490</v>
      </c>
      <c r="O9" s="31" t="s">
        <v>1512</v>
      </c>
      <c r="P9" s="32" t="s">
        <v>1513</v>
      </c>
      <c r="Q9" s="42" t="str">
        <f t="shared" ref="Q9:Q72" si="0">"https://ec.europa.eu/info/funding-tenders/opportunities/portal/screen/opportunities/topic-details/" &amp; E9</f>
        <v>https://ec.europa.eu/info/funding-tenders/opportunities/portal/screen/opportunities/topic-details/HORIZON-HLTH-2027-01-ENVHLTH-MISSCLIMA-03</v>
      </c>
    </row>
    <row r="10" spans="1:17" ht="66" customHeight="1" thickBot="1" x14ac:dyDescent="0.35">
      <c r="A10" s="37" t="s">
        <v>2773</v>
      </c>
      <c r="B10" s="37" t="s">
        <v>2776</v>
      </c>
      <c r="C10" s="37" t="s">
        <v>2777</v>
      </c>
      <c r="D10" s="4" t="s">
        <v>1487</v>
      </c>
      <c r="E10" s="5" t="s">
        <v>62</v>
      </c>
      <c r="F10" s="5" t="s">
        <v>63</v>
      </c>
      <c r="G10" s="5" t="s">
        <v>103</v>
      </c>
      <c r="H10" s="6" t="s">
        <v>2364</v>
      </c>
      <c r="I10" s="6" t="s">
        <v>104</v>
      </c>
      <c r="J10" s="6" t="s">
        <v>105</v>
      </c>
      <c r="K10" s="5" t="s">
        <v>11</v>
      </c>
      <c r="L10" s="5" t="s">
        <v>12</v>
      </c>
      <c r="M10" s="7">
        <v>46063</v>
      </c>
      <c r="N10" s="8">
        <v>46128</v>
      </c>
      <c r="O10" s="33" t="s">
        <v>1514</v>
      </c>
      <c r="P10" s="34" t="s">
        <v>1515</v>
      </c>
      <c r="Q10" s="42" t="str">
        <f t="shared" si="0"/>
        <v>https://ec.europa.eu/info/funding-tenders/opportunities/portal/screen/opportunities/topic-details/HORIZON-HLTH-2026-01-DISEASE-02</v>
      </c>
    </row>
    <row r="11" spans="1:17" ht="66" customHeight="1" thickBot="1" x14ac:dyDescent="0.35">
      <c r="A11" s="37" t="s">
        <v>2773</v>
      </c>
      <c r="B11" s="37" t="s">
        <v>2776</v>
      </c>
      <c r="C11" s="37" t="s">
        <v>2777</v>
      </c>
      <c r="D11" s="4" t="s">
        <v>1487</v>
      </c>
      <c r="E11" s="13" t="s">
        <v>64</v>
      </c>
      <c r="F11" s="13" t="s">
        <v>65</v>
      </c>
      <c r="G11" s="13" t="s">
        <v>106</v>
      </c>
      <c r="H11" s="14" t="s">
        <v>2365</v>
      </c>
      <c r="I11" s="14" t="s">
        <v>107</v>
      </c>
      <c r="J11" s="14" t="s">
        <v>108</v>
      </c>
      <c r="K11" s="13" t="s">
        <v>11</v>
      </c>
      <c r="L11" s="13" t="s">
        <v>12</v>
      </c>
      <c r="M11" s="15">
        <v>46063</v>
      </c>
      <c r="N11" s="16">
        <v>46128</v>
      </c>
      <c r="O11" s="33" t="s">
        <v>1516</v>
      </c>
      <c r="P11" s="34" t="s">
        <v>1517</v>
      </c>
      <c r="Q11" s="42" t="str">
        <f t="shared" si="0"/>
        <v>https://ec.europa.eu/info/funding-tenders/opportunities/portal/screen/opportunities/topic-details/HORIZON-HLTH-2026-01-DISEASE-03</v>
      </c>
    </row>
    <row r="12" spans="1:17" ht="66" customHeight="1" thickBot="1" x14ac:dyDescent="0.35">
      <c r="A12" s="37" t="s">
        <v>2773</v>
      </c>
      <c r="B12" s="37" t="s">
        <v>2776</v>
      </c>
      <c r="C12" s="37" t="s">
        <v>2777</v>
      </c>
      <c r="D12" s="4" t="s">
        <v>1487</v>
      </c>
      <c r="E12" s="13" t="s">
        <v>20</v>
      </c>
      <c r="F12" s="13" t="s">
        <v>21</v>
      </c>
      <c r="G12" s="13" t="s">
        <v>109</v>
      </c>
      <c r="H12" s="14"/>
      <c r="I12" s="14" t="s">
        <v>1495</v>
      </c>
      <c r="J12" s="14" t="s">
        <v>110</v>
      </c>
      <c r="K12" s="13" t="s">
        <v>11</v>
      </c>
      <c r="L12" s="13" t="s">
        <v>12</v>
      </c>
      <c r="M12" s="15">
        <v>46063</v>
      </c>
      <c r="N12" s="16">
        <v>46128</v>
      </c>
      <c r="O12" s="33" t="s">
        <v>1518</v>
      </c>
      <c r="P12" s="34" t="s">
        <v>1519</v>
      </c>
      <c r="Q12" s="42" t="str">
        <f t="shared" si="0"/>
        <v>https://ec.europa.eu/info/funding-tenders/opportunities/portal/screen/opportunities/topic-details/HORIZON-HLTH-2026-01-DISEASE-04</v>
      </c>
    </row>
    <row r="13" spans="1:17" ht="66" customHeight="1" thickBot="1" x14ac:dyDescent="0.35">
      <c r="A13" s="37" t="s">
        <v>2773</v>
      </c>
      <c r="B13" s="37" t="s">
        <v>2776</v>
      </c>
      <c r="C13" s="37" t="s">
        <v>2777</v>
      </c>
      <c r="D13" s="4" t="s">
        <v>1487</v>
      </c>
      <c r="E13" s="13" t="s">
        <v>66</v>
      </c>
      <c r="F13" s="13" t="s">
        <v>111</v>
      </c>
      <c r="G13" s="13" t="s">
        <v>112</v>
      </c>
      <c r="H13" s="14" t="s">
        <v>2366</v>
      </c>
      <c r="I13" s="14" t="s">
        <v>89</v>
      </c>
      <c r="J13" s="14" t="s">
        <v>113</v>
      </c>
      <c r="K13" s="13" t="s">
        <v>11</v>
      </c>
      <c r="L13" s="13" t="s">
        <v>12</v>
      </c>
      <c r="M13" s="15">
        <v>46063</v>
      </c>
      <c r="N13" s="16">
        <v>46128</v>
      </c>
      <c r="O13" s="33" t="s">
        <v>1520</v>
      </c>
      <c r="P13" s="34" t="s">
        <v>1521</v>
      </c>
      <c r="Q13" s="42" t="str">
        <f t="shared" si="0"/>
        <v>https://ec.europa.eu/info/funding-tenders/opportunities/portal/screen/opportunities/topic-details/HORIZON-HLTH-2026-01-DISEASE-09</v>
      </c>
    </row>
    <row r="14" spans="1:17" ht="66" customHeight="1" thickBot="1" x14ac:dyDescent="0.35">
      <c r="A14" s="37" t="s">
        <v>2773</v>
      </c>
      <c r="B14" s="37" t="s">
        <v>2776</v>
      </c>
      <c r="C14" s="37" t="s">
        <v>2777</v>
      </c>
      <c r="D14" s="4" t="s">
        <v>1487</v>
      </c>
      <c r="E14" s="13" t="s">
        <v>67</v>
      </c>
      <c r="F14" s="13" t="s">
        <v>114</v>
      </c>
      <c r="G14" s="13" t="s">
        <v>115</v>
      </c>
      <c r="H14" s="14" t="s">
        <v>2367</v>
      </c>
      <c r="I14" s="14" t="s">
        <v>34</v>
      </c>
      <c r="J14" s="14" t="s">
        <v>116</v>
      </c>
      <c r="K14" s="13" t="s">
        <v>11</v>
      </c>
      <c r="L14" s="13" t="s">
        <v>12</v>
      </c>
      <c r="M14" s="15">
        <v>46063</v>
      </c>
      <c r="N14" s="16">
        <v>46128</v>
      </c>
      <c r="O14" s="28" t="s">
        <v>1522</v>
      </c>
      <c r="P14" s="29" t="s">
        <v>1523</v>
      </c>
      <c r="Q14" s="42" t="str">
        <f t="shared" si="0"/>
        <v>https://ec.europa.eu/info/funding-tenders/opportunities/portal/screen/opportunities/topic-details/HORIZON-HLTH-2026-01-DISEASE-11</v>
      </c>
    </row>
    <row r="15" spans="1:17" ht="66" customHeight="1" thickBot="1" x14ac:dyDescent="0.35">
      <c r="A15" s="37" t="s">
        <v>2773</v>
      </c>
      <c r="B15" s="37" t="s">
        <v>2776</v>
      </c>
      <c r="C15" s="37" t="s">
        <v>2777</v>
      </c>
      <c r="D15" s="4" t="s">
        <v>1487</v>
      </c>
      <c r="E15" s="9" t="s">
        <v>22</v>
      </c>
      <c r="F15" s="9" t="s">
        <v>23</v>
      </c>
      <c r="G15" s="9" t="s">
        <v>24</v>
      </c>
      <c r="H15" s="10"/>
      <c r="I15" s="10" t="s">
        <v>25</v>
      </c>
      <c r="J15" s="10" t="s">
        <v>117</v>
      </c>
      <c r="K15" s="9" t="s">
        <v>26</v>
      </c>
      <c r="L15" s="9" t="s">
        <v>12</v>
      </c>
      <c r="M15" s="11">
        <v>46063</v>
      </c>
      <c r="N15" s="12">
        <v>46280</v>
      </c>
      <c r="O15" s="30" t="s">
        <v>1524</v>
      </c>
      <c r="P15" s="30" t="s">
        <v>1525</v>
      </c>
      <c r="Q15" s="42" t="str">
        <f t="shared" si="0"/>
        <v>https://ec.europa.eu/info/funding-tenders/opportunities/portal/screen/opportunities/topic-details/HORIZON-HLTH-2026-02-DISEASE-12</v>
      </c>
    </row>
    <row r="16" spans="1:17" ht="66" customHeight="1" thickBot="1" x14ac:dyDescent="0.35">
      <c r="A16" s="37" t="s">
        <v>2773</v>
      </c>
      <c r="B16" s="37" t="s">
        <v>2776</v>
      </c>
      <c r="C16" s="37" t="s">
        <v>2777</v>
      </c>
      <c r="D16" s="4" t="s">
        <v>1487</v>
      </c>
      <c r="E16" s="13" t="s">
        <v>70</v>
      </c>
      <c r="F16" s="13" t="s">
        <v>71</v>
      </c>
      <c r="G16" s="13" t="s">
        <v>118</v>
      </c>
      <c r="H16" s="14"/>
      <c r="I16" s="14" t="s">
        <v>107</v>
      </c>
      <c r="J16" s="14" t="s">
        <v>119</v>
      </c>
      <c r="K16" s="13" t="s">
        <v>26</v>
      </c>
      <c r="L16" s="13" t="s">
        <v>12</v>
      </c>
      <c r="M16" s="15">
        <v>46428</v>
      </c>
      <c r="N16" s="16">
        <v>46490</v>
      </c>
      <c r="O16" s="35" t="s">
        <v>1526</v>
      </c>
      <c r="P16" s="36" t="s">
        <v>1527</v>
      </c>
      <c r="Q16" s="42" t="str">
        <f t="shared" si="0"/>
        <v>https://ec.europa.eu/info/funding-tenders/opportunities/portal/screen/opportunities/topic-details/HORIZON-HLTH-2026-03-DISEASE-13</v>
      </c>
    </row>
    <row r="17" spans="1:17" ht="66" customHeight="1" thickBot="1" x14ac:dyDescent="0.35">
      <c r="A17" s="37" t="s">
        <v>2773</v>
      </c>
      <c r="B17" s="37" t="s">
        <v>2776</v>
      </c>
      <c r="C17" s="37" t="s">
        <v>2777</v>
      </c>
      <c r="D17" s="4" t="s">
        <v>1487</v>
      </c>
      <c r="E17" s="17" t="s">
        <v>68</v>
      </c>
      <c r="F17" s="17" t="s">
        <v>69</v>
      </c>
      <c r="G17" s="17" t="s">
        <v>120</v>
      </c>
      <c r="H17" s="18" t="s">
        <v>2365</v>
      </c>
      <c r="I17" s="18" t="s">
        <v>28</v>
      </c>
      <c r="J17" s="18" t="s">
        <v>121</v>
      </c>
      <c r="K17" s="17" t="s">
        <v>16</v>
      </c>
      <c r="L17" s="17" t="s">
        <v>12</v>
      </c>
      <c r="M17" s="19">
        <v>46063</v>
      </c>
      <c r="N17" s="20">
        <v>46128</v>
      </c>
      <c r="O17" s="30" t="s">
        <v>1528</v>
      </c>
      <c r="P17" s="30" t="s">
        <v>1529</v>
      </c>
      <c r="Q17" s="42" t="str">
        <f t="shared" si="0"/>
        <v>https://ec.europa.eu/info/funding-tenders/opportunities/portal/screen/opportunities/topic-details/HORIZON-HLTH-2026-01-DISEASE-15</v>
      </c>
    </row>
    <row r="18" spans="1:17" ht="66" customHeight="1" thickBot="1" x14ac:dyDescent="0.35">
      <c r="A18" s="37" t="s">
        <v>2773</v>
      </c>
      <c r="B18" s="37" t="s">
        <v>2776</v>
      </c>
      <c r="C18" s="37" t="s">
        <v>2777</v>
      </c>
      <c r="D18" s="4" t="s">
        <v>1487</v>
      </c>
      <c r="E18" s="13" t="s">
        <v>32</v>
      </c>
      <c r="F18" s="13" t="s">
        <v>33</v>
      </c>
      <c r="G18" s="13" t="s">
        <v>122</v>
      </c>
      <c r="H18" s="14" t="s">
        <v>2368</v>
      </c>
      <c r="I18" s="14" t="s">
        <v>34</v>
      </c>
      <c r="J18" s="14" t="s">
        <v>123</v>
      </c>
      <c r="K18" s="13" t="s">
        <v>11</v>
      </c>
      <c r="L18" s="13" t="s">
        <v>35</v>
      </c>
      <c r="M18" s="15">
        <v>46428</v>
      </c>
      <c r="N18" s="21" t="s">
        <v>36</v>
      </c>
      <c r="O18" s="30" t="s">
        <v>1530</v>
      </c>
      <c r="P18" s="30" t="s">
        <v>1531</v>
      </c>
      <c r="Q18" s="42" t="str">
        <f t="shared" si="0"/>
        <v>https://ec.europa.eu/info/funding-tenders/opportunities/portal/screen/opportunities/topic-details/HORIZON-HLTH-2027-02-DISEASE-01-two-stage</v>
      </c>
    </row>
    <row r="19" spans="1:17" ht="66" customHeight="1" thickBot="1" x14ac:dyDescent="0.35">
      <c r="A19" s="37" t="s">
        <v>2773</v>
      </c>
      <c r="B19" s="37" t="s">
        <v>2776</v>
      </c>
      <c r="C19" s="37" t="s">
        <v>2777</v>
      </c>
      <c r="D19" s="4" t="s">
        <v>1487</v>
      </c>
      <c r="E19" s="13" t="s">
        <v>78</v>
      </c>
      <c r="F19" s="13" t="s">
        <v>124</v>
      </c>
      <c r="G19" s="13" t="s">
        <v>125</v>
      </c>
      <c r="H19" s="14"/>
      <c r="I19" s="14" t="s">
        <v>1493</v>
      </c>
      <c r="J19" s="14" t="s">
        <v>126</v>
      </c>
      <c r="K19" s="13" t="s">
        <v>11</v>
      </c>
      <c r="L19" s="13" t="s">
        <v>12</v>
      </c>
      <c r="M19" s="15">
        <v>46428</v>
      </c>
      <c r="N19" s="16">
        <v>46490</v>
      </c>
      <c r="O19" s="30" t="s">
        <v>1532</v>
      </c>
      <c r="P19" s="30" t="s">
        <v>1533</v>
      </c>
      <c r="Q19" s="42" t="str">
        <f t="shared" si="0"/>
        <v>https://ec.europa.eu/info/funding-tenders/opportunities/portal/screen/opportunities/topic-details/HORIZON-HLTH-2027-01-DISEASE-05</v>
      </c>
    </row>
    <row r="20" spans="1:17" ht="66" customHeight="1" thickBot="1" x14ac:dyDescent="0.35">
      <c r="A20" s="37" t="s">
        <v>2773</v>
      </c>
      <c r="B20" s="37" t="s">
        <v>2776</v>
      </c>
      <c r="C20" s="37" t="s">
        <v>2777</v>
      </c>
      <c r="D20" s="4" t="s">
        <v>1487</v>
      </c>
      <c r="E20" s="13" t="s">
        <v>79</v>
      </c>
      <c r="F20" s="13" t="s">
        <v>127</v>
      </c>
      <c r="G20" s="13" t="s">
        <v>128</v>
      </c>
      <c r="H20" s="14"/>
      <c r="I20" s="14" t="s">
        <v>107</v>
      </c>
      <c r="J20" s="14" t="s">
        <v>129</v>
      </c>
      <c r="K20" s="13" t="s">
        <v>11</v>
      </c>
      <c r="L20" s="13" t="s">
        <v>12</v>
      </c>
      <c r="M20" s="15">
        <v>46428</v>
      </c>
      <c r="N20" s="16">
        <v>46490</v>
      </c>
      <c r="O20" s="30" t="s">
        <v>1534</v>
      </c>
      <c r="P20" s="30" t="s">
        <v>1535</v>
      </c>
      <c r="Q20" s="42" t="str">
        <f t="shared" si="0"/>
        <v>https://ec.europa.eu/info/funding-tenders/opportunities/portal/screen/opportunities/topic-details/HORIZON-HLTH-2027-01-DISEASE-06</v>
      </c>
    </row>
    <row r="21" spans="1:17" ht="66" customHeight="1" thickBot="1" x14ac:dyDescent="0.35">
      <c r="A21" s="37" t="s">
        <v>2773</v>
      </c>
      <c r="B21" s="37" t="s">
        <v>2776</v>
      </c>
      <c r="C21" s="37" t="s">
        <v>2777</v>
      </c>
      <c r="D21" s="4" t="s">
        <v>1487</v>
      </c>
      <c r="E21" s="13" t="s">
        <v>80</v>
      </c>
      <c r="F21" s="13" t="s">
        <v>130</v>
      </c>
      <c r="G21" s="13" t="s">
        <v>131</v>
      </c>
      <c r="H21" s="14"/>
      <c r="I21" s="14" t="s">
        <v>107</v>
      </c>
      <c r="J21" s="14" t="s">
        <v>132</v>
      </c>
      <c r="K21" s="13" t="s">
        <v>11</v>
      </c>
      <c r="L21" s="13" t="s">
        <v>12</v>
      </c>
      <c r="M21" s="15">
        <v>46428</v>
      </c>
      <c r="N21" s="16">
        <v>46490</v>
      </c>
      <c r="O21" s="30" t="s">
        <v>1536</v>
      </c>
      <c r="P21" s="30" t="s">
        <v>1537</v>
      </c>
      <c r="Q21" s="42" t="str">
        <f t="shared" si="0"/>
        <v>https://ec.europa.eu/info/funding-tenders/opportunities/portal/screen/opportunities/topic-details/HORIZON-HLTH-2027-01-DISEASE-07</v>
      </c>
    </row>
    <row r="22" spans="1:17" ht="66" customHeight="1" thickBot="1" x14ac:dyDescent="0.35">
      <c r="A22" s="37" t="s">
        <v>2773</v>
      </c>
      <c r="B22" s="37" t="s">
        <v>2776</v>
      </c>
      <c r="C22" s="37" t="s">
        <v>2777</v>
      </c>
      <c r="D22" s="4" t="s">
        <v>1487</v>
      </c>
      <c r="E22" s="13" t="s">
        <v>81</v>
      </c>
      <c r="F22" s="13" t="s">
        <v>133</v>
      </c>
      <c r="G22" s="13" t="s">
        <v>134</v>
      </c>
      <c r="H22" s="14"/>
      <c r="I22" s="14" t="s">
        <v>107</v>
      </c>
      <c r="J22" s="14" t="s">
        <v>135</v>
      </c>
      <c r="K22" s="13" t="s">
        <v>11</v>
      </c>
      <c r="L22" s="13" t="s">
        <v>12</v>
      </c>
      <c r="M22" s="15">
        <v>46428</v>
      </c>
      <c r="N22" s="16">
        <v>46490</v>
      </c>
      <c r="O22" s="30" t="s">
        <v>1538</v>
      </c>
      <c r="P22" s="30" t="s">
        <v>1539</v>
      </c>
      <c r="Q22" s="42" t="str">
        <f t="shared" si="0"/>
        <v>https://ec.europa.eu/info/funding-tenders/opportunities/portal/screen/opportunities/topic-details/HORIZON-HLTH-2027-01-DISEASE-08</v>
      </c>
    </row>
    <row r="23" spans="1:17" ht="66" customHeight="1" thickBot="1" x14ac:dyDescent="0.35">
      <c r="A23" s="37" t="s">
        <v>2773</v>
      </c>
      <c r="B23" s="37" t="s">
        <v>2776</v>
      </c>
      <c r="C23" s="37" t="s">
        <v>2777</v>
      </c>
      <c r="D23" s="4" t="s">
        <v>1487</v>
      </c>
      <c r="E23" s="13" t="s">
        <v>82</v>
      </c>
      <c r="F23" s="13" t="s">
        <v>136</v>
      </c>
      <c r="G23" s="13" t="s">
        <v>137</v>
      </c>
      <c r="H23" s="14" t="s">
        <v>2369</v>
      </c>
      <c r="I23" s="14" t="s">
        <v>89</v>
      </c>
      <c r="J23" s="14" t="s">
        <v>138</v>
      </c>
      <c r="K23" s="13" t="s">
        <v>11</v>
      </c>
      <c r="L23" s="13" t="s">
        <v>12</v>
      </c>
      <c r="M23" s="15">
        <v>46428</v>
      </c>
      <c r="N23" s="16">
        <v>46490</v>
      </c>
      <c r="O23" s="30" t="s">
        <v>1540</v>
      </c>
      <c r="P23" s="30" t="s">
        <v>1541</v>
      </c>
      <c r="Q23" s="42" t="str">
        <f t="shared" si="0"/>
        <v>https://ec.europa.eu/info/funding-tenders/opportunities/portal/screen/opportunities/topic-details/HORIZON-HLTH-2027-01-DISEASE-10</v>
      </c>
    </row>
    <row r="24" spans="1:17" ht="66" customHeight="1" thickBot="1" x14ac:dyDescent="0.35">
      <c r="A24" s="37" t="s">
        <v>2773</v>
      </c>
      <c r="B24" s="37" t="s">
        <v>2776</v>
      </c>
      <c r="C24" s="37" t="s">
        <v>2777</v>
      </c>
      <c r="D24" s="4" t="s">
        <v>1487</v>
      </c>
      <c r="E24" s="13" t="s">
        <v>83</v>
      </c>
      <c r="F24" s="13" t="s">
        <v>84</v>
      </c>
      <c r="G24" s="13" t="s">
        <v>139</v>
      </c>
      <c r="H24" s="14" t="s">
        <v>2358</v>
      </c>
      <c r="I24" s="14" t="s">
        <v>140</v>
      </c>
      <c r="J24" s="14" t="s">
        <v>141</v>
      </c>
      <c r="K24" s="13" t="s">
        <v>11</v>
      </c>
      <c r="L24" s="13" t="s">
        <v>35</v>
      </c>
      <c r="M24" s="15">
        <v>46428</v>
      </c>
      <c r="N24" s="21" t="s">
        <v>36</v>
      </c>
      <c r="O24" s="35" t="s">
        <v>1542</v>
      </c>
      <c r="P24" s="36" t="s">
        <v>1543</v>
      </c>
      <c r="Q24" s="42" t="str">
        <f t="shared" si="0"/>
        <v>https://ec.europa.eu/info/funding-tenders/opportunities/portal/screen/opportunities/topic-details/HORIZON-HLTH-2027-02-DISEASE-14-two-stage</v>
      </c>
    </row>
    <row r="25" spans="1:17" ht="66" customHeight="1" thickBot="1" x14ac:dyDescent="0.35">
      <c r="A25" s="37" t="s">
        <v>2773</v>
      </c>
      <c r="B25" s="37" t="s">
        <v>2776</v>
      </c>
      <c r="C25" s="37" t="s">
        <v>2777</v>
      </c>
      <c r="D25" s="4" t="s">
        <v>1487</v>
      </c>
      <c r="E25" s="17" t="s">
        <v>27</v>
      </c>
      <c r="F25" s="17" t="s">
        <v>142</v>
      </c>
      <c r="G25" s="17" t="s">
        <v>2469</v>
      </c>
      <c r="H25" s="18"/>
      <c r="I25" s="18" t="s">
        <v>28</v>
      </c>
      <c r="J25" s="18" t="s">
        <v>143</v>
      </c>
      <c r="K25" s="17" t="s">
        <v>29</v>
      </c>
      <c r="L25" s="17" t="s">
        <v>12</v>
      </c>
      <c r="M25" s="19">
        <v>46063</v>
      </c>
      <c r="N25" s="20">
        <v>46128</v>
      </c>
      <c r="O25" s="30" t="s">
        <v>1544</v>
      </c>
      <c r="P25" s="30" t="s">
        <v>1545</v>
      </c>
      <c r="Q25" s="42" t="str">
        <f t="shared" si="0"/>
        <v>https://ec.europa.eu/info/funding-tenders/opportunities/portal/screen/opportunities/topic-details/HORIZON-HLTH-2026-01-CARE-01</v>
      </c>
    </row>
    <row r="26" spans="1:17" ht="66" customHeight="1" thickBot="1" x14ac:dyDescent="0.35">
      <c r="A26" s="37" t="s">
        <v>2773</v>
      </c>
      <c r="B26" s="37" t="s">
        <v>2776</v>
      </c>
      <c r="C26" s="37" t="s">
        <v>2777</v>
      </c>
      <c r="D26" s="4" t="s">
        <v>1487</v>
      </c>
      <c r="E26" s="13" t="s">
        <v>37</v>
      </c>
      <c r="F26" s="13" t="s">
        <v>144</v>
      </c>
      <c r="G26" s="13" t="s">
        <v>2470</v>
      </c>
      <c r="H26" s="14"/>
      <c r="I26" s="14" t="s">
        <v>38</v>
      </c>
      <c r="J26" s="14" t="s">
        <v>145</v>
      </c>
      <c r="K26" s="13" t="s">
        <v>11</v>
      </c>
      <c r="L26" s="13" t="s">
        <v>12</v>
      </c>
      <c r="M26" s="15">
        <v>46428</v>
      </c>
      <c r="N26" s="16">
        <v>46490</v>
      </c>
      <c r="O26" s="31" t="s">
        <v>1546</v>
      </c>
      <c r="P26" s="32" t="s">
        <v>1547</v>
      </c>
      <c r="Q26" s="42" t="str">
        <f t="shared" si="0"/>
        <v>https://ec.europa.eu/info/funding-tenders/opportunities/portal/screen/opportunities/topic-details/HORIZON-HLTH-2027-01-CARE-02</v>
      </c>
    </row>
    <row r="27" spans="1:17" ht="66" customHeight="1" thickBot="1" x14ac:dyDescent="0.35">
      <c r="A27" s="37" t="s">
        <v>2773</v>
      </c>
      <c r="B27" s="37" t="s">
        <v>2776</v>
      </c>
      <c r="C27" s="37" t="s">
        <v>2777</v>
      </c>
      <c r="D27" s="4" t="s">
        <v>1487</v>
      </c>
      <c r="E27" s="5" t="s">
        <v>72</v>
      </c>
      <c r="F27" s="5" t="s">
        <v>146</v>
      </c>
      <c r="G27" s="5" t="s">
        <v>147</v>
      </c>
      <c r="H27" s="6" t="s">
        <v>2370</v>
      </c>
      <c r="I27" s="6" t="s">
        <v>28</v>
      </c>
      <c r="J27" s="6" t="s">
        <v>148</v>
      </c>
      <c r="K27" s="5" t="s">
        <v>11</v>
      </c>
      <c r="L27" s="5" t="s">
        <v>12</v>
      </c>
      <c r="M27" s="7">
        <v>46063</v>
      </c>
      <c r="N27" s="8">
        <v>46128</v>
      </c>
      <c r="O27" s="33" t="s">
        <v>1548</v>
      </c>
      <c r="P27" s="34" t="s">
        <v>1549</v>
      </c>
      <c r="Q27" s="42" t="str">
        <f t="shared" si="0"/>
        <v>https://ec.europa.eu/info/funding-tenders/opportunities/portal/screen/opportunities/topic-details/HORIZON-HLTH-2026-01-CARE-03</v>
      </c>
    </row>
    <row r="28" spans="1:17" ht="66" customHeight="1" thickBot="1" x14ac:dyDescent="0.35">
      <c r="A28" s="37" t="s">
        <v>2773</v>
      </c>
      <c r="B28" s="37" t="s">
        <v>2776</v>
      </c>
      <c r="C28" s="37" t="s">
        <v>2777</v>
      </c>
      <c r="D28" s="4" t="s">
        <v>1487</v>
      </c>
      <c r="E28" s="13" t="s">
        <v>73</v>
      </c>
      <c r="F28" s="13" t="s">
        <v>149</v>
      </c>
      <c r="G28" s="13" t="s">
        <v>150</v>
      </c>
      <c r="H28" s="14"/>
      <c r="I28" s="14" t="s">
        <v>25</v>
      </c>
      <c r="J28" s="14" t="s">
        <v>151</v>
      </c>
      <c r="K28" s="13" t="s">
        <v>26</v>
      </c>
      <c r="L28" s="13" t="s">
        <v>12</v>
      </c>
      <c r="M28" s="15">
        <v>46063</v>
      </c>
      <c r="N28" s="16">
        <v>46128</v>
      </c>
      <c r="O28" s="33" t="s">
        <v>1550</v>
      </c>
      <c r="P28" s="34" t="s">
        <v>1551</v>
      </c>
      <c r="Q28" s="42" t="str">
        <f t="shared" si="0"/>
        <v>https://ec.europa.eu/info/funding-tenders/opportunities/portal/screen/opportunities/topic-details/HORIZON-HLTH-2026-04-CARE-04</v>
      </c>
    </row>
    <row r="29" spans="1:17" ht="66" customHeight="1" thickBot="1" x14ac:dyDescent="0.35">
      <c r="A29" s="37" t="s">
        <v>2773</v>
      </c>
      <c r="B29" s="37" t="s">
        <v>2776</v>
      </c>
      <c r="C29" s="37" t="s">
        <v>2777</v>
      </c>
      <c r="D29" s="4" t="s">
        <v>1487</v>
      </c>
      <c r="E29" s="13" t="s">
        <v>30</v>
      </c>
      <c r="F29" s="13" t="s">
        <v>152</v>
      </c>
      <c r="G29" s="13" t="s">
        <v>2471</v>
      </c>
      <c r="H29" s="14"/>
      <c r="I29" s="14" t="s">
        <v>31</v>
      </c>
      <c r="J29" s="14" t="s">
        <v>153</v>
      </c>
      <c r="K29" s="13" t="s">
        <v>11</v>
      </c>
      <c r="L29" s="13" t="s">
        <v>12</v>
      </c>
      <c r="M29" s="15">
        <v>46063</v>
      </c>
      <c r="N29" s="16">
        <v>46128</v>
      </c>
      <c r="O29" s="33" t="s">
        <v>1552</v>
      </c>
      <c r="P29" s="34" t="s">
        <v>1553</v>
      </c>
      <c r="Q29" s="42" t="str">
        <f t="shared" si="0"/>
        <v>https://ec.europa.eu/info/funding-tenders/opportunities/portal/screen/opportunities/topic-details/HORIZON-HLTH-2026-01-TOOL-03</v>
      </c>
    </row>
    <row r="30" spans="1:17" ht="66" customHeight="1" thickBot="1" x14ac:dyDescent="0.35">
      <c r="A30" s="37" t="s">
        <v>2773</v>
      </c>
      <c r="B30" s="37" t="s">
        <v>2776</v>
      </c>
      <c r="C30" s="37" t="s">
        <v>2777</v>
      </c>
      <c r="D30" s="4" t="s">
        <v>1487</v>
      </c>
      <c r="E30" s="13" t="s">
        <v>74</v>
      </c>
      <c r="F30" s="13" t="s">
        <v>154</v>
      </c>
      <c r="G30" s="13" t="s">
        <v>155</v>
      </c>
      <c r="H30" s="14"/>
      <c r="I30" s="14" t="s">
        <v>156</v>
      </c>
      <c r="J30" s="14" t="s">
        <v>157</v>
      </c>
      <c r="K30" s="13" t="s">
        <v>50</v>
      </c>
      <c r="L30" s="13" t="s">
        <v>12</v>
      </c>
      <c r="M30" s="15">
        <v>46063</v>
      </c>
      <c r="N30" s="16">
        <v>46128</v>
      </c>
      <c r="O30" s="33" t="s">
        <v>1554</v>
      </c>
      <c r="P30" s="34" t="s">
        <v>1555</v>
      </c>
      <c r="Q30" s="42" t="str">
        <f t="shared" si="0"/>
        <v>https://ec.europa.eu/info/funding-tenders/opportunities/portal/screen/opportunities/topic-details/HORIZON-HLTH-2026-01-TOOL-05</v>
      </c>
    </row>
    <row r="31" spans="1:17" ht="66" customHeight="1" thickBot="1" x14ac:dyDescent="0.35">
      <c r="A31" s="37" t="s">
        <v>2773</v>
      </c>
      <c r="B31" s="37" t="s">
        <v>2776</v>
      </c>
      <c r="C31" s="37" t="s">
        <v>2777</v>
      </c>
      <c r="D31" s="4" t="s">
        <v>1487</v>
      </c>
      <c r="E31" s="13" t="s">
        <v>75</v>
      </c>
      <c r="F31" s="13" t="s">
        <v>158</v>
      </c>
      <c r="G31" s="13" t="s">
        <v>159</v>
      </c>
      <c r="H31" s="14"/>
      <c r="I31" s="14" t="s">
        <v>31</v>
      </c>
      <c r="J31" s="14" t="s">
        <v>160</v>
      </c>
      <c r="K31" s="13" t="s">
        <v>16</v>
      </c>
      <c r="L31" s="13" t="s">
        <v>12</v>
      </c>
      <c r="M31" s="15">
        <v>46063</v>
      </c>
      <c r="N31" s="16">
        <v>46128</v>
      </c>
      <c r="O31" s="28" t="s">
        <v>1556</v>
      </c>
      <c r="P31" s="29" t="s">
        <v>1557</v>
      </c>
      <c r="Q31" s="42" t="str">
        <f t="shared" si="0"/>
        <v>https://ec.europa.eu/info/funding-tenders/opportunities/portal/screen/opportunities/topic-details/HORIZON-HLTH-2026-01-TOOL-06</v>
      </c>
    </row>
    <row r="32" spans="1:17" ht="66" customHeight="1" thickBot="1" x14ac:dyDescent="0.35">
      <c r="A32" s="37" t="s">
        <v>2773</v>
      </c>
      <c r="B32" s="37" t="s">
        <v>2776</v>
      </c>
      <c r="C32" s="37" t="s">
        <v>2777</v>
      </c>
      <c r="D32" s="4" t="s">
        <v>1487</v>
      </c>
      <c r="E32" s="9" t="s">
        <v>76</v>
      </c>
      <c r="F32" s="9" t="s">
        <v>161</v>
      </c>
      <c r="G32" s="9" t="s">
        <v>162</v>
      </c>
      <c r="H32" s="10"/>
      <c r="I32" s="10" t="s">
        <v>163</v>
      </c>
      <c r="J32" s="10" t="s">
        <v>164</v>
      </c>
      <c r="K32" s="9" t="s">
        <v>16</v>
      </c>
      <c r="L32" s="9" t="s">
        <v>12</v>
      </c>
      <c r="M32" s="11">
        <v>46063</v>
      </c>
      <c r="N32" s="12">
        <v>46128</v>
      </c>
      <c r="O32" s="30" t="s">
        <v>1558</v>
      </c>
      <c r="P32" s="30" t="s">
        <v>1559</v>
      </c>
      <c r="Q32" s="42" t="str">
        <f t="shared" si="0"/>
        <v>https://ec.europa.eu/info/funding-tenders/opportunities/portal/screen/opportunities/topic-details/HORIZON-HLTH-2026-01-TOOL-07</v>
      </c>
    </row>
    <row r="33" spans="1:17" ht="66" customHeight="1" thickBot="1" x14ac:dyDescent="0.35">
      <c r="A33" s="37" t="s">
        <v>2773</v>
      </c>
      <c r="B33" s="37" t="s">
        <v>2776</v>
      </c>
      <c r="C33" s="37" t="s">
        <v>2777</v>
      </c>
      <c r="D33" s="4" t="s">
        <v>1487</v>
      </c>
      <c r="E33" s="13" t="s">
        <v>39</v>
      </c>
      <c r="F33" s="13" t="s">
        <v>165</v>
      </c>
      <c r="G33" s="13" t="s">
        <v>166</v>
      </c>
      <c r="H33" s="14"/>
      <c r="I33" s="14" t="s">
        <v>40</v>
      </c>
      <c r="J33" s="14" t="s">
        <v>167</v>
      </c>
      <c r="K33" s="13" t="s">
        <v>11</v>
      </c>
      <c r="L33" s="13" t="s">
        <v>35</v>
      </c>
      <c r="M33" s="15">
        <v>46428</v>
      </c>
      <c r="N33" s="21" t="s">
        <v>36</v>
      </c>
      <c r="O33" s="30" t="s">
        <v>1560</v>
      </c>
      <c r="P33" s="30" t="s">
        <v>1561</v>
      </c>
      <c r="Q33" s="42" t="str">
        <f t="shared" si="0"/>
        <v>https://ec.europa.eu/info/funding-tenders/opportunities/portal/screen/opportunities/topic-details/HORIZON-HLTH-2027-02-TOOL-01-two-stage</v>
      </c>
    </row>
    <row r="34" spans="1:17" ht="66" customHeight="1" thickBot="1" x14ac:dyDescent="0.35">
      <c r="A34" s="37" t="s">
        <v>2773</v>
      </c>
      <c r="B34" s="37" t="s">
        <v>2776</v>
      </c>
      <c r="C34" s="37" t="s">
        <v>2777</v>
      </c>
      <c r="D34" s="4" t="s">
        <v>1487</v>
      </c>
      <c r="E34" s="13" t="s">
        <v>85</v>
      </c>
      <c r="F34" s="13" t="s">
        <v>168</v>
      </c>
      <c r="G34" s="13" t="s">
        <v>169</v>
      </c>
      <c r="H34" s="14"/>
      <c r="I34" s="14" t="s">
        <v>170</v>
      </c>
      <c r="J34" s="14" t="s">
        <v>171</v>
      </c>
      <c r="K34" s="13" t="s">
        <v>11</v>
      </c>
      <c r="L34" s="13" t="s">
        <v>12</v>
      </c>
      <c r="M34" s="15">
        <v>46541</v>
      </c>
      <c r="N34" s="16">
        <v>46652</v>
      </c>
      <c r="O34" s="30" t="s">
        <v>1562</v>
      </c>
      <c r="P34" s="30" t="s">
        <v>1563</v>
      </c>
      <c r="Q34" s="42" t="str">
        <f t="shared" si="0"/>
        <v>https://ec.europa.eu/info/funding-tenders/opportunities/portal/screen/opportunities/topic-details/HORIZON-HLTH-2027-03-TOOL-02</v>
      </c>
    </row>
    <row r="35" spans="1:17" ht="66" customHeight="1" thickBot="1" x14ac:dyDescent="0.35">
      <c r="A35" s="37" t="s">
        <v>2773</v>
      </c>
      <c r="B35" s="37" t="s">
        <v>2776</v>
      </c>
      <c r="C35" s="37" t="s">
        <v>2777</v>
      </c>
      <c r="D35" s="4" t="s">
        <v>1487</v>
      </c>
      <c r="E35" s="13" t="s">
        <v>41</v>
      </c>
      <c r="F35" s="13" t="s">
        <v>172</v>
      </c>
      <c r="G35" s="13" t="s">
        <v>2472</v>
      </c>
      <c r="H35" s="14" t="s">
        <v>2371</v>
      </c>
      <c r="I35" s="14" t="s">
        <v>42</v>
      </c>
      <c r="J35" s="14" t="s">
        <v>173</v>
      </c>
      <c r="K35" s="13" t="s">
        <v>11</v>
      </c>
      <c r="L35" s="13" t="s">
        <v>12</v>
      </c>
      <c r="M35" s="15">
        <v>46541</v>
      </c>
      <c r="N35" s="16">
        <v>46652</v>
      </c>
      <c r="O35" s="30" t="s">
        <v>1564</v>
      </c>
      <c r="P35" s="30" t="s">
        <v>1565</v>
      </c>
      <c r="Q35" s="42" t="str">
        <f t="shared" si="0"/>
        <v>https://ec.europa.eu/info/funding-tenders/opportunities/portal/screen/opportunities/topic-details/HORIZON-HLTH-2027-03-TOOL-04</v>
      </c>
    </row>
    <row r="36" spans="1:17" ht="66" customHeight="1" thickBot="1" x14ac:dyDescent="0.35">
      <c r="A36" s="37" t="s">
        <v>2773</v>
      </c>
      <c r="B36" s="37" t="s">
        <v>2776</v>
      </c>
      <c r="C36" s="37" t="s">
        <v>2777</v>
      </c>
      <c r="D36" s="4" t="s">
        <v>1487</v>
      </c>
      <c r="E36" s="13" t="s">
        <v>43</v>
      </c>
      <c r="F36" s="13" t="s">
        <v>44</v>
      </c>
      <c r="G36" s="13" t="s">
        <v>2473</v>
      </c>
      <c r="H36" s="14"/>
      <c r="I36" s="14" t="s">
        <v>45</v>
      </c>
      <c r="J36" s="14" t="s">
        <v>174</v>
      </c>
      <c r="K36" s="13" t="s">
        <v>16</v>
      </c>
      <c r="L36" s="13" t="s">
        <v>12</v>
      </c>
      <c r="M36" s="15">
        <v>46541</v>
      </c>
      <c r="N36" s="16">
        <v>46652</v>
      </c>
      <c r="O36" s="30" t="s">
        <v>1566</v>
      </c>
      <c r="P36" s="30" t="s">
        <v>1567</v>
      </c>
      <c r="Q36" s="42" t="str">
        <f t="shared" si="0"/>
        <v>https://ec.europa.eu/info/funding-tenders/opportunities/portal/screen/opportunities/topic-details/HORIZON-HLTH-2027-03-TOOL-08</v>
      </c>
    </row>
    <row r="37" spans="1:17" ht="66" customHeight="1" thickBot="1" x14ac:dyDescent="0.35">
      <c r="A37" s="37" t="s">
        <v>2773</v>
      </c>
      <c r="B37" s="37" t="s">
        <v>2776</v>
      </c>
      <c r="C37" s="37" t="s">
        <v>2777</v>
      </c>
      <c r="D37" s="4" t="s">
        <v>1487</v>
      </c>
      <c r="E37" s="13" t="s">
        <v>46</v>
      </c>
      <c r="F37" s="13" t="s">
        <v>175</v>
      </c>
      <c r="G37" s="13" t="s">
        <v>2474</v>
      </c>
      <c r="H37" s="14"/>
      <c r="I37" s="14" t="s">
        <v>1494</v>
      </c>
      <c r="J37" s="14" t="s">
        <v>176</v>
      </c>
      <c r="K37" s="13" t="s">
        <v>11</v>
      </c>
      <c r="L37" s="13" t="s">
        <v>12</v>
      </c>
      <c r="M37" s="15">
        <v>46428</v>
      </c>
      <c r="N37" s="16">
        <v>46490</v>
      </c>
      <c r="O37" s="35" t="s">
        <v>1568</v>
      </c>
      <c r="P37" s="36" t="s">
        <v>1569</v>
      </c>
      <c r="Q37" s="42" t="str">
        <f t="shared" si="0"/>
        <v>https://ec.europa.eu/info/funding-tenders/opportunities/portal/screen/opportunities/topic-details/HORIZON-HLTH-2027-01-IND-01</v>
      </c>
    </row>
    <row r="38" spans="1:17" ht="66" customHeight="1" thickBot="1" x14ac:dyDescent="0.35">
      <c r="A38" s="37" t="s">
        <v>2773</v>
      </c>
      <c r="B38" s="37" t="s">
        <v>2776</v>
      </c>
      <c r="C38" s="37" t="s">
        <v>2777</v>
      </c>
      <c r="D38" s="4" t="s">
        <v>1487</v>
      </c>
      <c r="E38" s="17" t="s">
        <v>77</v>
      </c>
      <c r="F38" s="17" t="s">
        <v>177</v>
      </c>
      <c r="G38" s="17" t="s">
        <v>178</v>
      </c>
      <c r="H38" s="18"/>
      <c r="I38" s="18" t="s">
        <v>179</v>
      </c>
      <c r="J38" s="18" t="s">
        <v>180</v>
      </c>
      <c r="K38" s="17" t="s">
        <v>11</v>
      </c>
      <c r="L38" s="17" t="s">
        <v>12</v>
      </c>
      <c r="M38" s="19">
        <v>46063</v>
      </c>
      <c r="N38" s="20">
        <v>46128</v>
      </c>
      <c r="O38" s="30" t="s">
        <v>1570</v>
      </c>
      <c r="P38" s="30" t="s">
        <v>1571</v>
      </c>
      <c r="Q38" s="42" t="str">
        <f t="shared" si="0"/>
        <v>https://ec.europa.eu/info/funding-tenders/opportunities/portal/screen/opportunities/topic-details/HORIZON-HLTH-2026-01-IND-03</v>
      </c>
    </row>
    <row r="39" spans="1:17" ht="66" customHeight="1" thickBot="1" x14ac:dyDescent="0.35">
      <c r="A39" s="37" t="s">
        <v>2773</v>
      </c>
      <c r="B39" s="37" t="s">
        <v>2776</v>
      </c>
      <c r="C39" s="37" t="s">
        <v>2777</v>
      </c>
      <c r="D39" s="4" t="s">
        <v>1487</v>
      </c>
      <c r="E39" s="9" t="s">
        <v>47</v>
      </c>
      <c r="F39" s="9" t="s">
        <v>48</v>
      </c>
      <c r="G39" s="9" t="s">
        <v>2475</v>
      </c>
      <c r="H39" s="10"/>
      <c r="I39" s="10" t="s">
        <v>49</v>
      </c>
      <c r="J39" s="10" t="s">
        <v>181</v>
      </c>
      <c r="K39" s="9" t="s">
        <v>50</v>
      </c>
      <c r="L39" s="9" t="s">
        <v>35</v>
      </c>
      <c r="M39" s="11">
        <v>46428</v>
      </c>
      <c r="N39" s="22" t="s">
        <v>36</v>
      </c>
      <c r="O39" s="31" t="s">
        <v>1572</v>
      </c>
      <c r="P39" s="32" t="s">
        <v>1573</v>
      </c>
      <c r="Q39" s="42" t="str">
        <f t="shared" si="0"/>
        <v>https://ec.europa.eu/info/funding-tenders/opportunities/portal/screen/opportunities/topic-details/HORIZON-HLTH-2027-02-IND-02-two-stage</v>
      </c>
    </row>
    <row r="40" spans="1:17" ht="66" customHeight="1" thickBot="1" x14ac:dyDescent="0.35">
      <c r="A40" s="37" t="s">
        <v>2773</v>
      </c>
      <c r="B40" s="37" t="s">
        <v>2776</v>
      </c>
      <c r="C40" s="37" t="s">
        <v>2777</v>
      </c>
      <c r="D40" s="4" t="s">
        <v>1488</v>
      </c>
      <c r="E40" s="21" t="s">
        <v>550</v>
      </c>
      <c r="F40" s="4" t="s">
        <v>551</v>
      </c>
      <c r="G40" s="4" t="s">
        <v>2476</v>
      </c>
      <c r="H40" s="14" t="s">
        <v>2372</v>
      </c>
      <c r="I40" s="14" t="s">
        <v>552</v>
      </c>
      <c r="J40" s="14" t="s">
        <v>591</v>
      </c>
      <c r="K40" s="13" t="s">
        <v>11</v>
      </c>
      <c r="L40" s="13" t="s">
        <v>12</v>
      </c>
      <c r="M40" s="23">
        <v>46154</v>
      </c>
      <c r="N40" s="24">
        <v>46288</v>
      </c>
      <c r="O40" s="14" t="s">
        <v>1692</v>
      </c>
      <c r="P40" s="14" t="s">
        <v>1693</v>
      </c>
      <c r="Q40" s="42" t="str">
        <f t="shared" si="0"/>
        <v>https://ec.europa.eu/info/funding-tenders/opportunities/portal/screen/opportunities/topic-details/HORIZON-CL2-2026-01-DEMOCRACY-01</v>
      </c>
    </row>
    <row r="41" spans="1:17" ht="66" customHeight="1" thickBot="1" x14ac:dyDescent="0.35">
      <c r="A41" s="37" t="s">
        <v>2773</v>
      </c>
      <c r="B41" s="37" t="s">
        <v>2776</v>
      </c>
      <c r="C41" s="37" t="s">
        <v>2777</v>
      </c>
      <c r="D41" s="4" t="s">
        <v>1488</v>
      </c>
      <c r="E41" s="21" t="s">
        <v>553</v>
      </c>
      <c r="F41" s="4" t="s">
        <v>554</v>
      </c>
      <c r="G41" s="4" t="s">
        <v>2477</v>
      </c>
      <c r="H41" s="14" t="s">
        <v>2373</v>
      </c>
      <c r="I41" s="14" t="s">
        <v>96</v>
      </c>
      <c r="J41" s="14" t="s">
        <v>592</v>
      </c>
      <c r="K41" s="13" t="s">
        <v>11</v>
      </c>
      <c r="L41" s="13" t="s">
        <v>12</v>
      </c>
      <c r="M41" s="23">
        <v>46154</v>
      </c>
      <c r="N41" s="24">
        <v>46288</v>
      </c>
      <c r="O41" s="14" t="s">
        <v>1694</v>
      </c>
      <c r="P41" s="14" t="s">
        <v>1695</v>
      </c>
      <c r="Q41" s="42" t="str">
        <f t="shared" si="0"/>
        <v>https://ec.europa.eu/info/funding-tenders/opportunities/portal/screen/opportunities/topic-details/HORIZON-CL2-2026-01-DEMOCRACY-02</v>
      </c>
    </row>
    <row r="42" spans="1:17" ht="66" customHeight="1" thickBot="1" x14ac:dyDescent="0.35">
      <c r="A42" s="37" t="s">
        <v>2773</v>
      </c>
      <c r="B42" s="37" t="s">
        <v>2776</v>
      </c>
      <c r="C42" s="37" t="s">
        <v>2777</v>
      </c>
      <c r="D42" s="4" t="s">
        <v>1488</v>
      </c>
      <c r="E42" s="21" t="s">
        <v>555</v>
      </c>
      <c r="F42" s="4" t="s">
        <v>556</v>
      </c>
      <c r="G42" s="4" t="s">
        <v>2478</v>
      </c>
      <c r="H42" s="14" t="s">
        <v>2374</v>
      </c>
      <c r="I42" s="14" t="s">
        <v>96</v>
      </c>
      <c r="J42" s="14" t="s">
        <v>593</v>
      </c>
      <c r="K42" s="13" t="s">
        <v>11</v>
      </c>
      <c r="L42" s="13" t="s">
        <v>12</v>
      </c>
      <c r="M42" s="23">
        <v>46154</v>
      </c>
      <c r="N42" s="24">
        <v>46288</v>
      </c>
      <c r="O42" s="14" t="s">
        <v>1696</v>
      </c>
      <c r="P42" s="14" t="s">
        <v>1697</v>
      </c>
      <c r="Q42" s="42" t="str">
        <f t="shared" si="0"/>
        <v>https://ec.europa.eu/info/funding-tenders/opportunities/portal/screen/opportunities/topic-details/HORIZON-CL2-2026-01-DEMOCRACY-03</v>
      </c>
    </row>
    <row r="43" spans="1:17" ht="66" customHeight="1" thickBot="1" x14ac:dyDescent="0.35">
      <c r="A43" s="37" t="s">
        <v>2773</v>
      </c>
      <c r="B43" s="37" t="s">
        <v>2776</v>
      </c>
      <c r="C43" s="37" t="s">
        <v>2777</v>
      </c>
      <c r="D43" s="4" t="s">
        <v>1488</v>
      </c>
      <c r="E43" s="21" t="s">
        <v>557</v>
      </c>
      <c r="F43" s="4" t="s">
        <v>558</v>
      </c>
      <c r="G43" s="4" t="s">
        <v>2479</v>
      </c>
      <c r="H43" s="14" t="s">
        <v>2375</v>
      </c>
      <c r="I43" s="14" t="s">
        <v>594</v>
      </c>
      <c r="J43" s="14" t="s">
        <v>595</v>
      </c>
      <c r="K43" s="13" t="s">
        <v>50</v>
      </c>
      <c r="L43" s="13" t="s">
        <v>12</v>
      </c>
      <c r="M43" s="23">
        <v>46154</v>
      </c>
      <c r="N43" s="24">
        <v>46288</v>
      </c>
      <c r="O43" s="14" t="s">
        <v>1698</v>
      </c>
      <c r="P43" s="14" t="s">
        <v>1699</v>
      </c>
      <c r="Q43" s="42" t="str">
        <f t="shared" si="0"/>
        <v>https://ec.europa.eu/info/funding-tenders/opportunities/portal/screen/opportunities/topic-details/HORIZON-CL2-2026-01-DEMOCRACY-04</v>
      </c>
    </row>
    <row r="44" spans="1:17" ht="66" customHeight="1" thickBot="1" x14ac:dyDescent="0.35">
      <c r="A44" s="37" t="s">
        <v>2773</v>
      </c>
      <c r="B44" s="37" t="s">
        <v>2776</v>
      </c>
      <c r="C44" s="37" t="s">
        <v>2777</v>
      </c>
      <c r="D44" s="4" t="s">
        <v>1488</v>
      </c>
      <c r="E44" s="21" t="s">
        <v>559</v>
      </c>
      <c r="F44" s="4" t="s">
        <v>560</v>
      </c>
      <c r="G44" s="4" t="s">
        <v>2480</v>
      </c>
      <c r="H44" s="14" t="s">
        <v>2376</v>
      </c>
      <c r="I44" s="14" t="s">
        <v>594</v>
      </c>
      <c r="J44" s="14" t="s">
        <v>596</v>
      </c>
      <c r="K44" s="13" t="s">
        <v>16</v>
      </c>
      <c r="L44" s="13" t="s">
        <v>12</v>
      </c>
      <c r="M44" s="23">
        <v>46154</v>
      </c>
      <c r="N44" s="24">
        <v>46288</v>
      </c>
      <c r="O44" s="14" t="s">
        <v>1700</v>
      </c>
      <c r="P44" s="14" t="s">
        <v>1701</v>
      </c>
      <c r="Q44" s="42" t="str">
        <f t="shared" si="0"/>
        <v>https://ec.europa.eu/info/funding-tenders/opportunities/portal/screen/opportunities/topic-details/HORIZON-CL2-2026-01-DEMOCRACY-05</v>
      </c>
    </row>
    <row r="45" spans="1:17" ht="66" customHeight="1" thickBot="1" x14ac:dyDescent="0.35">
      <c r="A45" s="37" t="s">
        <v>2773</v>
      </c>
      <c r="B45" s="37" t="s">
        <v>2776</v>
      </c>
      <c r="C45" s="37" t="s">
        <v>2777</v>
      </c>
      <c r="D45" s="4" t="s">
        <v>1488</v>
      </c>
      <c r="E45" s="21" t="s">
        <v>561</v>
      </c>
      <c r="F45" s="4" t="s">
        <v>562</v>
      </c>
      <c r="G45" s="4" t="s">
        <v>2481</v>
      </c>
      <c r="H45" s="14" t="s">
        <v>2377</v>
      </c>
      <c r="I45" s="14" t="s">
        <v>597</v>
      </c>
      <c r="J45" s="14" t="s">
        <v>598</v>
      </c>
      <c r="K45" s="13" t="s">
        <v>11</v>
      </c>
      <c r="L45" s="13" t="s">
        <v>12</v>
      </c>
      <c r="M45" s="23">
        <v>46154</v>
      </c>
      <c r="N45" s="24">
        <v>46288</v>
      </c>
      <c r="O45" s="14" t="s">
        <v>1702</v>
      </c>
      <c r="P45" s="14" t="s">
        <v>1703</v>
      </c>
      <c r="Q45" s="42" t="str">
        <f t="shared" si="0"/>
        <v>https://ec.europa.eu/info/funding-tenders/opportunities/portal/screen/opportunities/topic-details/HORIZON-CL2-2026-01-DEMOCRACY-06</v>
      </c>
    </row>
    <row r="46" spans="1:17" ht="66" customHeight="1" thickBot="1" x14ac:dyDescent="0.35">
      <c r="A46" s="37" t="s">
        <v>2773</v>
      </c>
      <c r="B46" s="37" t="s">
        <v>2776</v>
      </c>
      <c r="C46" s="37" t="s">
        <v>2777</v>
      </c>
      <c r="D46" s="4" t="s">
        <v>1488</v>
      </c>
      <c r="E46" s="21" t="s">
        <v>563</v>
      </c>
      <c r="F46" s="4" t="s">
        <v>564</v>
      </c>
      <c r="G46" s="4" t="s">
        <v>2482</v>
      </c>
      <c r="H46" s="14" t="s">
        <v>2378</v>
      </c>
      <c r="I46" s="14" t="s">
        <v>599</v>
      </c>
      <c r="J46" s="14" t="s">
        <v>600</v>
      </c>
      <c r="K46" s="13" t="s">
        <v>11</v>
      </c>
      <c r="L46" s="13" t="s">
        <v>12</v>
      </c>
      <c r="M46" s="23">
        <v>46154</v>
      </c>
      <c r="N46" s="24">
        <v>46288</v>
      </c>
      <c r="O46" s="14" t="s">
        <v>1704</v>
      </c>
      <c r="P46" s="14" t="s">
        <v>1705</v>
      </c>
      <c r="Q46" s="42" t="str">
        <f t="shared" si="0"/>
        <v>https://ec.europa.eu/info/funding-tenders/opportunities/portal/screen/opportunities/topic-details/HORIZON-CL2-2026-01-DEMOCRACY-07</v>
      </c>
    </row>
    <row r="47" spans="1:17" ht="66" customHeight="1" thickBot="1" x14ac:dyDescent="0.35">
      <c r="A47" s="37" t="s">
        <v>2773</v>
      </c>
      <c r="B47" s="37" t="s">
        <v>2776</v>
      </c>
      <c r="C47" s="37" t="s">
        <v>2777</v>
      </c>
      <c r="D47" s="4" t="s">
        <v>1488</v>
      </c>
      <c r="E47" s="21" t="s">
        <v>565</v>
      </c>
      <c r="F47" s="4" t="s">
        <v>566</v>
      </c>
      <c r="G47" s="4" t="s">
        <v>2483</v>
      </c>
      <c r="H47" s="14" t="s">
        <v>2379</v>
      </c>
      <c r="I47" s="14" t="s">
        <v>579</v>
      </c>
      <c r="J47" s="14" t="s">
        <v>601</v>
      </c>
      <c r="K47" s="13" t="s">
        <v>11</v>
      </c>
      <c r="L47" s="13" t="s">
        <v>12</v>
      </c>
      <c r="M47" s="23">
        <v>46154</v>
      </c>
      <c r="N47" s="24">
        <v>46288</v>
      </c>
      <c r="O47" s="14" t="s">
        <v>1706</v>
      </c>
      <c r="P47" s="14" t="s">
        <v>1707</v>
      </c>
      <c r="Q47" s="42" t="str">
        <f t="shared" si="0"/>
        <v>https://ec.europa.eu/info/funding-tenders/opportunities/portal/screen/opportunities/topic-details/HORIZON-CL2-2026-01-DEMOCRACY-08</v>
      </c>
    </row>
    <row r="48" spans="1:17" ht="66" customHeight="1" thickBot="1" x14ac:dyDescent="0.35">
      <c r="A48" s="37" t="s">
        <v>2773</v>
      </c>
      <c r="B48" s="37" t="s">
        <v>2776</v>
      </c>
      <c r="C48" s="37" t="s">
        <v>2777</v>
      </c>
      <c r="D48" s="4" t="s">
        <v>1488</v>
      </c>
      <c r="E48" s="21" t="s">
        <v>567</v>
      </c>
      <c r="F48" s="4" t="s">
        <v>568</v>
      </c>
      <c r="G48" s="4" t="s">
        <v>2484</v>
      </c>
      <c r="H48" s="14" t="s">
        <v>2380</v>
      </c>
      <c r="I48" s="14" t="s">
        <v>594</v>
      </c>
      <c r="J48" s="14" t="s">
        <v>602</v>
      </c>
      <c r="K48" s="13" t="s">
        <v>11</v>
      </c>
      <c r="L48" s="13" t="s">
        <v>12</v>
      </c>
      <c r="M48" s="23">
        <v>46154</v>
      </c>
      <c r="N48" s="24">
        <v>46288</v>
      </c>
      <c r="O48" s="14" t="s">
        <v>1708</v>
      </c>
      <c r="P48" s="14" t="s">
        <v>1709</v>
      </c>
      <c r="Q48" s="42" t="str">
        <f t="shared" si="0"/>
        <v>https://ec.europa.eu/info/funding-tenders/opportunities/portal/screen/opportunities/topic-details/HORIZON-CL2-2026-01-DEMOCRACY-09</v>
      </c>
    </row>
    <row r="49" spans="1:17" ht="66" customHeight="1" thickBot="1" x14ac:dyDescent="0.35">
      <c r="A49" s="37" t="s">
        <v>2773</v>
      </c>
      <c r="B49" s="37" t="s">
        <v>2776</v>
      </c>
      <c r="C49" s="37" t="s">
        <v>2777</v>
      </c>
      <c r="D49" s="4" t="s">
        <v>1488</v>
      </c>
      <c r="E49" s="21" t="s">
        <v>569</v>
      </c>
      <c r="F49" s="4" t="s">
        <v>570</v>
      </c>
      <c r="G49" s="4" t="s">
        <v>2485</v>
      </c>
      <c r="H49" s="14" t="s">
        <v>2375</v>
      </c>
      <c r="I49" s="14" t="s">
        <v>594</v>
      </c>
      <c r="J49" s="14" t="s">
        <v>603</v>
      </c>
      <c r="K49" s="13" t="s">
        <v>11</v>
      </c>
      <c r="L49" s="13" t="s">
        <v>12</v>
      </c>
      <c r="M49" s="23">
        <v>46154</v>
      </c>
      <c r="N49" s="24">
        <v>46288</v>
      </c>
      <c r="O49" s="14" t="s">
        <v>1710</v>
      </c>
      <c r="P49" s="14" t="s">
        <v>1711</v>
      </c>
      <c r="Q49" s="42" t="str">
        <f t="shared" si="0"/>
        <v>https://ec.europa.eu/info/funding-tenders/opportunities/portal/screen/opportunities/topic-details/HORIZON-CL2-2026-01-DEMOCRACY-10</v>
      </c>
    </row>
    <row r="50" spans="1:17" ht="66" customHeight="1" thickBot="1" x14ac:dyDescent="0.35">
      <c r="A50" s="37" t="s">
        <v>2773</v>
      </c>
      <c r="B50" s="37" t="s">
        <v>2776</v>
      </c>
      <c r="C50" s="37" t="s">
        <v>2777</v>
      </c>
      <c r="D50" s="4" t="s">
        <v>1488</v>
      </c>
      <c r="E50" s="21" t="s">
        <v>571</v>
      </c>
      <c r="F50" s="4" t="s">
        <v>572</v>
      </c>
      <c r="G50" s="4" t="s">
        <v>2486</v>
      </c>
      <c r="H50" s="14" t="s">
        <v>2381</v>
      </c>
      <c r="I50" s="14" t="s">
        <v>594</v>
      </c>
      <c r="J50" s="14" t="s">
        <v>604</v>
      </c>
      <c r="K50" s="13" t="s">
        <v>16</v>
      </c>
      <c r="L50" s="13" t="s">
        <v>12</v>
      </c>
      <c r="M50" s="23">
        <v>46520</v>
      </c>
      <c r="N50" s="24">
        <v>46653</v>
      </c>
      <c r="O50" s="14" t="s">
        <v>1712</v>
      </c>
      <c r="P50" s="14" t="s">
        <v>1713</v>
      </c>
      <c r="Q50" s="42" t="str">
        <f t="shared" si="0"/>
        <v>https://ec.europa.eu/info/funding-tenders/opportunities/portal/screen/opportunities/topic-details/HORIZON-CL2-2027-01-DEMOCRACY-01</v>
      </c>
    </row>
    <row r="51" spans="1:17" ht="66" customHeight="1" thickBot="1" x14ac:dyDescent="0.35">
      <c r="A51" s="37" t="s">
        <v>2773</v>
      </c>
      <c r="B51" s="37" t="s">
        <v>2776</v>
      </c>
      <c r="C51" s="37" t="s">
        <v>2777</v>
      </c>
      <c r="D51" s="4" t="s">
        <v>1488</v>
      </c>
      <c r="E51" s="21" t="s">
        <v>573</v>
      </c>
      <c r="F51" s="4" t="s">
        <v>574</v>
      </c>
      <c r="G51" s="4" t="s">
        <v>2487</v>
      </c>
      <c r="H51" s="14" t="s">
        <v>2382</v>
      </c>
      <c r="I51" s="14" t="s">
        <v>552</v>
      </c>
      <c r="J51" s="14" t="s">
        <v>605</v>
      </c>
      <c r="K51" s="13" t="s">
        <v>11</v>
      </c>
      <c r="L51" s="13" t="s">
        <v>12</v>
      </c>
      <c r="M51" s="23">
        <v>46520</v>
      </c>
      <c r="N51" s="24">
        <v>46653</v>
      </c>
      <c r="O51" s="14" t="s">
        <v>1714</v>
      </c>
      <c r="P51" s="14" t="s">
        <v>1715</v>
      </c>
      <c r="Q51" s="42" t="str">
        <f t="shared" si="0"/>
        <v>https://ec.europa.eu/info/funding-tenders/opportunities/portal/screen/opportunities/topic-details/HORIZON-CL2-2027-01-DEMOCRACY-02</v>
      </c>
    </row>
    <row r="52" spans="1:17" ht="66" customHeight="1" thickBot="1" x14ac:dyDescent="0.35">
      <c r="A52" s="37" t="s">
        <v>2773</v>
      </c>
      <c r="B52" s="37" t="s">
        <v>2776</v>
      </c>
      <c r="C52" s="37" t="s">
        <v>2777</v>
      </c>
      <c r="D52" s="4" t="s">
        <v>1488</v>
      </c>
      <c r="E52" s="21" t="s">
        <v>575</v>
      </c>
      <c r="F52" s="4" t="s">
        <v>576</v>
      </c>
      <c r="G52" s="4" t="s">
        <v>2488</v>
      </c>
      <c r="H52" s="14" t="s">
        <v>2383</v>
      </c>
      <c r="I52" s="14" t="s">
        <v>594</v>
      </c>
      <c r="J52" s="14" t="s">
        <v>606</v>
      </c>
      <c r="K52" s="13" t="s">
        <v>11</v>
      </c>
      <c r="L52" s="13" t="s">
        <v>12</v>
      </c>
      <c r="M52" s="23">
        <v>46520</v>
      </c>
      <c r="N52" s="24">
        <v>46653</v>
      </c>
      <c r="O52" s="14" t="s">
        <v>1716</v>
      </c>
      <c r="P52" s="14" t="s">
        <v>1717</v>
      </c>
      <c r="Q52" s="42" t="str">
        <f t="shared" si="0"/>
        <v>https://ec.europa.eu/info/funding-tenders/opportunities/portal/screen/opportunities/topic-details/HORIZON-CL2-2027-01-DEMOCRACY-03</v>
      </c>
    </row>
    <row r="53" spans="1:17" ht="66" customHeight="1" thickBot="1" x14ac:dyDescent="0.35">
      <c r="A53" s="37" t="s">
        <v>2773</v>
      </c>
      <c r="B53" s="37" t="s">
        <v>2776</v>
      </c>
      <c r="C53" s="37" t="s">
        <v>2777</v>
      </c>
      <c r="D53" s="4" t="s">
        <v>1488</v>
      </c>
      <c r="E53" s="21" t="s">
        <v>577</v>
      </c>
      <c r="F53" s="4" t="s">
        <v>578</v>
      </c>
      <c r="G53" s="4" t="s">
        <v>2489</v>
      </c>
      <c r="H53" s="14" t="s">
        <v>2384</v>
      </c>
      <c r="I53" s="14" t="s">
        <v>607</v>
      </c>
      <c r="J53" s="14" t="s">
        <v>608</v>
      </c>
      <c r="K53" s="13" t="s">
        <v>11</v>
      </c>
      <c r="L53" s="13" t="s">
        <v>12</v>
      </c>
      <c r="M53" s="23">
        <v>46520</v>
      </c>
      <c r="N53" s="24">
        <v>46653</v>
      </c>
      <c r="O53" s="14" t="s">
        <v>1718</v>
      </c>
      <c r="P53" s="14" t="s">
        <v>1719</v>
      </c>
      <c r="Q53" s="42" t="str">
        <f t="shared" si="0"/>
        <v>https://ec.europa.eu/info/funding-tenders/opportunities/portal/screen/opportunities/topic-details/HORIZON-CL2-2027-01-DEMOCRACY-04</v>
      </c>
    </row>
    <row r="54" spans="1:17" ht="66" customHeight="1" thickBot="1" x14ac:dyDescent="0.35">
      <c r="A54" s="37" t="s">
        <v>2773</v>
      </c>
      <c r="B54" s="37" t="s">
        <v>2776</v>
      </c>
      <c r="C54" s="37" t="s">
        <v>2777</v>
      </c>
      <c r="D54" s="4" t="s">
        <v>1488</v>
      </c>
      <c r="E54" s="21" t="s">
        <v>580</v>
      </c>
      <c r="F54" s="4" t="s">
        <v>581</v>
      </c>
      <c r="G54" s="4" t="s">
        <v>2490</v>
      </c>
      <c r="H54" s="14" t="s">
        <v>2385</v>
      </c>
      <c r="I54" s="14" t="s">
        <v>96</v>
      </c>
      <c r="J54" s="14" t="s">
        <v>609</v>
      </c>
      <c r="K54" s="13" t="s">
        <v>11</v>
      </c>
      <c r="L54" s="13" t="s">
        <v>12</v>
      </c>
      <c r="M54" s="23">
        <v>46520</v>
      </c>
      <c r="N54" s="24">
        <v>46653</v>
      </c>
      <c r="O54" s="14" t="s">
        <v>1720</v>
      </c>
      <c r="P54" s="14" t="s">
        <v>1721</v>
      </c>
      <c r="Q54" s="42" t="str">
        <f t="shared" si="0"/>
        <v>https://ec.europa.eu/info/funding-tenders/opportunities/portal/screen/opportunities/topic-details/HORIZON-CL2-2027-01-DEMOCRACY-05</v>
      </c>
    </row>
    <row r="55" spans="1:17" ht="66" customHeight="1" thickBot="1" x14ac:dyDescent="0.35">
      <c r="A55" s="37" t="s">
        <v>2773</v>
      </c>
      <c r="B55" s="37" t="s">
        <v>2776</v>
      </c>
      <c r="C55" s="37" t="s">
        <v>2777</v>
      </c>
      <c r="D55" s="4" t="s">
        <v>1488</v>
      </c>
      <c r="E55" s="21" t="s">
        <v>582</v>
      </c>
      <c r="F55" s="4" t="s">
        <v>583</v>
      </c>
      <c r="G55" s="4" t="s">
        <v>2491</v>
      </c>
      <c r="H55" s="14" t="s">
        <v>2386</v>
      </c>
      <c r="I55" s="14" t="s">
        <v>594</v>
      </c>
      <c r="J55" s="14" t="s">
        <v>610</v>
      </c>
      <c r="K55" s="13" t="s">
        <v>11</v>
      </c>
      <c r="L55" s="13" t="s">
        <v>12</v>
      </c>
      <c r="M55" s="23">
        <v>46520</v>
      </c>
      <c r="N55" s="24">
        <v>46653</v>
      </c>
      <c r="O55" s="14" t="s">
        <v>1722</v>
      </c>
      <c r="P55" s="14" t="s">
        <v>1723</v>
      </c>
      <c r="Q55" s="42" t="str">
        <f t="shared" si="0"/>
        <v>https://ec.europa.eu/info/funding-tenders/opportunities/portal/screen/opportunities/topic-details/HORIZON-CL2-2027-01-DEMOCRACY-06</v>
      </c>
    </row>
    <row r="56" spans="1:17" ht="66" customHeight="1" thickBot="1" x14ac:dyDescent="0.35">
      <c r="A56" s="37" t="s">
        <v>2773</v>
      </c>
      <c r="B56" s="37" t="s">
        <v>2776</v>
      </c>
      <c r="C56" s="37" t="s">
        <v>2777</v>
      </c>
      <c r="D56" s="4" t="s">
        <v>1488</v>
      </c>
      <c r="E56" s="21" t="s">
        <v>584</v>
      </c>
      <c r="F56" s="4" t="s">
        <v>585</v>
      </c>
      <c r="G56" s="4" t="s">
        <v>2492</v>
      </c>
      <c r="H56" s="14" t="s">
        <v>2387</v>
      </c>
      <c r="I56" s="14" t="s">
        <v>96</v>
      </c>
      <c r="J56" s="14" t="s">
        <v>611</v>
      </c>
      <c r="K56" s="13" t="s">
        <v>11</v>
      </c>
      <c r="L56" s="13" t="s">
        <v>12</v>
      </c>
      <c r="M56" s="23">
        <v>46520</v>
      </c>
      <c r="N56" s="24">
        <v>46653</v>
      </c>
      <c r="O56" s="14" t="s">
        <v>1724</v>
      </c>
      <c r="P56" s="14" t="s">
        <v>1725</v>
      </c>
      <c r="Q56" s="42" t="str">
        <f t="shared" si="0"/>
        <v>https://ec.europa.eu/info/funding-tenders/opportunities/portal/screen/opportunities/topic-details/HORIZON-CL2-2027-01-DEMOCRACY-07</v>
      </c>
    </row>
    <row r="57" spans="1:17" ht="66" customHeight="1" thickBot="1" x14ac:dyDescent="0.35">
      <c r="A57" s="37" t="s">
        <v>2773</v>
      </c>
      <c r="B57" s="37" t="s">
        <v>2776</v>
      </c>
      <c r="C57" s="37" t="s">
        <v>2777</v>
      </c>
      <c r="D57" s="4" t="s">
        <v>1488</v>
      </c>
      <c r="E57" s="21" t="s">
        <v>586</v>
      </c>
      <c r="F57" s="4" t="s">
        <v>587</v>
      </c>
      <c r="G57" s="4" t="s">
        <v>2493</v>
      </c>
      <c r="H57" s="14" t="s">
        <v>2388</v>
      </c>
      <c r="I57" s="14" t="s">
        <v>96</v>
      </c>
      <c r="J57" s="14" t="s">
        <v>612</v>
      </c>
      <c r="K57" s="13" t="s">
        <v>11</v>
      </c>
      <c r="L57" s="13" t="s">
        <v>12</v>
      </c>
      <c r="M57" s="23">
        <v>46520</v>
      </c>
      <c r="N57" s="24">
        <v>46653</v>
      </c>
      <c r="O57" s="14" t="s">
        <v>1726</v>
      </c>
      <c r="P57" s="14" t="s">
        <v>1727</v>
      </c>
      <c r="Q57" s="42" t="str">
        <f t="shared" si="0"/>
        <v>https://ec.europa.eu/info/funding-tenders/opportunities/portal/screen/opportunities/topic-details/HORIZON-CL2-2027-01-DEMOCRACY-08</v>
      </c>
    </row>
    <row r="58" spans="1:17" ht="66" customHeight="1" thickBot="1" x14ac:dyDescent="0.35">
      <c r="A58" s="37" t="s">
        <v>2773</v>
      </c>
      <c r="B58" s="37" t="s">
        <v>2776</v>
      </c>
      <c r="C58" s="37" t="s">
        <v>2777</v>
      </c>
      <c r="D58" s="4" t="s">
        <v>1488</v>
      </c>
      <c r="E58" s="21" t="s">
        <v>588</v>
      </c>
      <c r="F58" s="4" t="s">
        <v>589</v>
      </c>
      <c r="G58" s="4" t="s">
        <v>2494</v>
      </c>
      <c r="H58" s="14" t="s">
        <v>2389</v>
      </c>
      <c r="I58" s="14" t="s">
        <v>552</v>
      </c>
      <c r="J58" s="14" t="s">
        <v>613</v>
      </c>
      <c r="K58" s="13" t="s">
        <v>11</v>
      </c>
      <c r="L58" s="13" t="s">
        <v>35</v>
      </c>
      <c r="M58" s="23">
        <v>46448</v>
      </c>
      <c r="N58" s="24" t="s">
        <v>590</v>
      </c>
      <c r="O58" s="14" t="s">
        <v>1728</v>
      </c>
      <c r="P58" s="14" t="s">
        <v>1729</v>
      </c>
      <c r="Q58" s="42" t="str">
        <f t="shared" si="0"/>
        <v>https://ec.europa.eu/info/funding-tenders/opportunities/portal/screen/opportunities/topic-details/HORIZON-CL2-2027-02-DEMOCRACY-09-two-stage</v>
      </c>
    </row>
    <row r="59" spans="1:17" ht="66" customHeight="1" thickBot="1" x14ac:dyDescent="0.35">
      <c r="A59" s="37" t="s">
        <v>2773</v>
      </c>
      <c r="B59" s="37" t="s">
        <v>2776</v>
      </c>
      <c r="C59" s="37" t="s">
        <v>2777</v>
      </c>
      <c r="D59" s="4" t="s">
        <v>1488</v>
      </c>
      <c r="E59" s="21" t="s">
        <v>614</v>
      </c>
      <c r="F59" s="4" t="s">
        <v>615</v>
      </c>
      <c r="G59" s="4" t="s">
        <v>2495</v>
      </c>
      <c r="H59" s="14" t="s">
        <v>2390</v>
      </c>
      <c r="I59" s="14" t="s">
        <v>616</v>
      </c>
      <c r="J59" s="14" t="s">
        <v>617</v>
      </c>
      <c r="K59" s="13" t="s">
        <v>11</v>
      </c>
      <c r="L59" s="13" t="s">
        <v>12</v>
      </c>
      <c r="M59" s="23">
        <v>46154</v>
      </c>
      <c r="N59" s="24">
        <v>46288</v>
      </c>
      <c r="O59" s="14" t="s">
        <v>1730</v>
      </c>
      <c r="P59" s="14" t="s">
        <v>1731</v>
      </c>
      <c r="Q59" s="42" t="str">
        <f t="shared" si="0"/>
        <v>https://ec.europa.eu/info/funding-tenders/opportunities/portal/screen/opportunities/topic-details/HORIZON-CL2-2026-01-HERITAGE-01</v>
      </c>
    </row>
    <row r="60" spans="1:17" ht="66" customHeight="1" thickBot="1" x14ac:dyDescent="0.35">
      <c r="A60" s="37" t="s">
        <v>2773</v>
      </c>
      <c r="B60" s="37" t="s">
        <v>2776</v>
      </c>
      <c r="C60" s="37" t="s">
        <v>2777</v>
      </c>
      <c r="D60" s="4" t="s">
        <v>1488</v>
      </c>
      <c r="E60" s="21" t="s">
        <v>618</v>
      </c>
      <c r="F60" s="4" t="s">
        <v>619</v>
      </c>
      <c r="G60" s="4" t="s">
        <v>2496</v>
      </c>
      <c r="H60" s="14" t="s">
        <v>2391</v>
      </c>
      <c r="I60" s="14" t="s">
        <v>620</v>
      </c>
      <c r="J60" s="14" t="s">
        <v>621</v>
      </c>
      <c r="K60" s="13" t="s">
        <v>50</v>
      </c>
      <c r="L60" s="13" t="s">
        <v>12</v>
      </c>
      <c r="M60" s="23">
        <v>46154</v>
      </c>
      <c r="N60" s="24">
        <v>46288</v>
      </c>
      <c r="O60" s="14" t="s">
        <v>1732</v>
      </c>
      <c r="P60" s="14" t="s">
        <v>1733</v>
      </c>
      <c r="Q60" s="42" t="str">
        <f t="shared" si="0"/>
        <v>https://ec.europa.eu/info/funding-tenders/opportunities/portal/screen/opportunities/topic-details/HORIZON-CL2-2026-01-HERITAGE-02</v>
      </c>
    </row>
    <row r="61" spans="1:17" ht="66" customHeight="1" thickBot="1" x14ac:dyDescent="0.35">
      <c r="A61" s="37" t="s">
        <v>2773</v>
      </c>
      <c r="B61" s="37" t="s">
        <v>2776</v>
      </c>
      <c r="C61" s="37" t="s">
        <v>2777</v>
      </c>
      <c r="D61" s="4" t="s">
        <v>1488</v>
      </c>
      <c r="E61" s="21" t="s">
        <v>622</v>
      </c>
      <c r="F61" s="4" t="s">
        <v>623</v>
      </c>
      <c r="G61" s="4" t="s">
        <v>2497</v>
      </c>
      <c r="H61" s="14" t="s">
        <v>2391</v>
      </c>
      <c r="I61" s="14" t="s">
        <v>624</v>
      </c>
      <c r="J61" s="14" t="s">
        <v>625</v>
      </c>
      <c r="K61" s="13" t="s">
        <v>50</v>
      </c>
      <c r="L61" s="13" t="s">
        <v>12</v>
      </c>
      <c r="M61" s="23">
        <v>46154</v>
      </c>
      <c r="N61" s="24">
        <v>46288</v>
      </c>
      <c r="O61" s="14" t="s">
        <v>1734</v>
      </c>
      <c r="P61" s="14" t="s">
        <v>1735</v>
      </c>
      <c r="Q61" s="42" t="str">
        <f t="shared" si="0"/>
        <v>https://ec.europa.eu/info/funding-tenders/opportunities/portal/screen/opportunities/topic-details/HORIZON-CL2-2026-01-HERITAGE-03</v>
      </c>
    </row>
    <row r="62" spans="1:17" ht="66" customHeight="1" thickBot="1" x14ac:dyDescent="0.35">
      <c r="A62" s="37" t="s">
        <v>2773</v>
      </c>
      <c r="B62" s="37" t="s">
        <v>2776</v>
      </c>
      <c r="C62" s="37" t="s">
        <v>2777</v>
      </c>
      <c r="D62" s="4" t="s">
        <v>1488</v>
      </c>
      <c r="E62" s="21" t="s">
        <v>626</v>
      </c>
      <c r="F62" s="4" t="s">
        <v>627</v>
      </c>
      <c r="G62" s="4" t="s">
        <v>2498</v>
      </c>
      <c r="H62" s="14" t="s">
        <v>2392</v>
      </c>
      <c r="I62" s="14" t="s">
        <v>628</v>
      </c>
      <c r="J62" s="14" t="s">
        <v>629</v>
      </c>
      <c r="K62" s="13" t="s">
        <v>11</v>
      </c>
      <c r="L62" s="13" t="s">
        <v>12</v>
      </c>
      <c r="M62" s="23">
        <v>46154</v>
      </c>
      <c r="N62" s="24">
        <v>46288</v>
      </c>
      <c r="O62" s="14" t="s">
        <v>1736</v>
      </c>
      <c r="P62" s="14" t="s">
        <v>1737</v>
      </c>
      <c r="Q62" s="42" t="str">
        <f t="shared" si="0"/>
        <v>https://ec.europa.eu/info/funding-tenders/opportunities/portal/screen/opportunities/topic-details/HORIZON-CL2-2026-01-HERITAGE-04</v>
      </c>
    </row>
    <row r="63" spans="1:17" ht="66" customHeight="1" thickBot="1" x14ac:dyDescent="0.35">
      <c r="A63" s="37" t="s">
        <v>2773</v>
      </c>
      <c r="B63" s="37" t="s">
        <v>2776</v>
      </c>
      <c r="C63" s="37" t="s">
        <v>2777</v>
      </c>
      <c r="D63" s="4" t="s">
        <v>1488</v>
      </c>
      <c r="E63" s="21" t="s">
        <v>630</v>
      </c>
      <c r="F63" s="4" t="s">
        <v>631</v>
      </c>
      <c r="G63" s="4" t="s">
        <v>2499</v>
      </c>
      <c r="H63" s="14" t="s">
        <v>2393</v>
      </c>
      <c r="I63" s="14" t="s">
        <v>632</v>
      </c>
      <c r="J63" s="14" t="s">
        <v>633</v>
      </c>
      <c r="K63" s="13" t="s">
        <v>11</v>
      </c>
      <c r="L63" s="13" t="s">
        <v>12</v>
      </c>
      <c r="M63" s="23">
        <v>46154</v>
      </c>
      <c r="N63" s="24">
        <v>46288</v>
      </c>
      <c r="O63" s="14" t="s">
        <v>1738</v>
      </c>
      <c r="P63" s="14" t="s">
        <v>1739</v>
      </c>
      <c r="Q63" s="42" t="str">
        <f t="shared" si="0"/>
        <v>https://ec.europa.eu/info/funding-tenders/opportunities/portal/screen/opportunities/topic-details/HORIZON-CL2-2026-01-HERITAGE-05</v>
      </c>
    </row>
    <row r="64" spans="1:17" ht="66" customHeight="1" thickBot="1" x14ac:dyDescent="0.35">
      <c r="A64" s="37" t="s">
        <v>2773</v>
      </c>
      <c r="B64" s="37" t="s">
        <v>2776</v>
      </c>
      <c r="C64" s="37" t="s">
        <v>2777</v>
      </c>
      <c r="D64" s="4" t="s">
        <v>1488</v>
      </c>
      <c r="E64" s="21" t="s">
        <v>634</v>
      </c>
      <c r="F64" s="4" t="s">
        <v>635</v>
      </c>
      <c r="G64" s="4" t="s">
        <v>2500</v>
      </c>
      <c r="H64" s="14" t="s">
        <v>2394</v>
      </c>
      <c r="I64" s="14" t="s">
        <v>636</v>
      </c>
      <c r="J64" s="14" t="s">
        <v>637</v>
      </c>
      <c r="K64" s="13" t="s">
        <v>11</v>
      </c>
      <c r="L64" s="13" t="s">
        <v>12</v>
      </c>
      <c r="M64" s="23">
        <v>46154</v>
      </c>
      <c r="N64" s="24">
        <v>46288</v>
      </c>
      <c r="O64" s="14" t="s">
        <v>1740</v>
      </c>
      <c r="P64" s="14" t="s">
        <v>1741</v>
      </c>
      <c r="Q64" s="42" t="str">
        <f t="shared" si="0"/>
        <v>https://ec.europa.eu/info/funding-tenders/opportunities/portal/screen/opportunities/topic-details/HORIZON-CL2-2026-01-HERITAGE-06</v>
      </c>
    </row>
    <row r="65" spans="1:17" ht="66" customHeight="1" thickBot="1" x14ac:dyDescent="0.35">
      <c r="A65" s="37" t="s">
        <v>2773</v>
      </c>
      <c r="B65" s="37" t="s">
        <v>2776</v>
      </c>
      <c r="C65" s="37" t="s">
        <v>2777</v>
      </c>
      <c r="D65" s="4" t="s">
        <v>1488</v>
      </c>
      <c r="E65" s="21" t="s">
        <v>638</v>
      </c>
      <c r="F65" s="4" t="s">
        <v>639</v>
      </c>
      <c r="G65" s="4" t="s">
        <v>2501</v>
      </c>
      <c r="H65" s="14" t="s">
        <v>2395</v>
      </c>
      <c r="I65" s="14" t="s">
        <v>640</v>
      </c>
      <c r="J65" s="14" t="s">
        <v>641</v>
      </c>
      <c r="K65" s="13" t="s">
        <v>16</v>
      </c>
      <c r="L65" s="13" t="s">
        <v>12</v>
      </c>
      <c r="M65" s="23">
        <v>46154</v>
      </c>
      <c r="N65" s="24">
        <v>46288</v>
      </c>
      <c r="O65" s="14" t="s">
        <v>1742</v>
      </c>
      <c r="P65" s="14" t="s">
        <v>1743</v>
      </c>
      <c r="Q65" s="42" t="str">
        <f t="shared" si="0"/>
        <v>https://ec.europa.eu/info/funding-tenders/opportunities/portal/screen/opportunities/topic-details/HORIZON-CL2-2026-01-HERITAGE-07</v>
      </c>
    </row>
    <row r="66" spans="1:17" ht="66" customHeight="1" thickBot="1" x14ac:dyDescent="0.35">
      <c r="A66" s="37" t="s">
        <v>2773</v>
      </c>
      <c r="B66" s="37" t="s">
        <v>2776</v>
      </c>
      <c r="C66" s="37" t="s">
        <v>2777</v>
      </c>
      <c r="D66" s="4" t="s">
        <v>1488</v>
      </c>
      <c r="E66" s="21" t="s">
        <v>642</v>
      </c>
      <c r="F66" s="4" t="s">
        <v>643</v>
      </c>
      <c r="G66" s="4" t="s">
        <v>2502</v>
      </c>
      <c r="H66" s="14" t="s">
        <v>2396</v>
      </c>
      <c r="I66" s="14" t="s">
        <v>620</v>
      </c>
      <c r="J66" s="14" t="s">
        <v>644</v>
      </c>
      <c r="K66" s="13" t="s">
        <v>16</v>
      </c>
      <c r="L66" s="13" t="s">
        <v>12</v>
      </c>
      <c r="M66" s="23">
        <v>46520</v>
      </c>
      <c r="N66" s="24">
        <v>46653</v>
      </c>
      <c r="O66" s="14" t="s">
        <v>1744</v>
      </c>
      <c r="P66" s="14" t="s">
        <v>1745</v>
      </c>
      <c r="Q66" s="42" t="str">
        <f t="shared" si="0"/>
        <v>https://ec.europa.eu/info/funding-tenders/opportunities/portal/screen/opportunities/topic-details/HORIZON-CL2-2027-01-HERITAGE-01</v>
      </c>
    </row>
    <row r="67" spans="1:17" ht="66" customHeight="1" thickBot="1" x14ac:dyDescent="0.35">
      <c r="A67" s="37" t="s">
        <v>2773</v>
      </c>
      <c r="B67" s="37" t="s">
        <v>2776</v>
      </c>
      <c r="C67" s="37" t="s">
        <v>2777</v>
      </c>
      <c r="D67" s="4" t="s">
        <v>1488</v>
      </c>
      <c r="E67" s="21" t="s">
        <v>645</v>
      </c>
      <c r="F67" s="4" t="s">
        <v>646</v>
      </c>
      <c r="G67" s="4" t="s">
        <v>2503</v>
      </c>
      <c r="H67" s="14" t="s">
        <v>2397</v>
      </c>
      <c r="I67" s="14" t="s">
        <v>624</v>
      </c>
      <c r="J67" s="14" t="s">
        <v>647</v>
      </c>
      <c r="K67" s="13" t="s">
        <v>16</v>
      </c>
      <c r="L67" s="13" t="s">
        <v>12</v>
      </c>
      <c r="M67" s="23">
        <v>46520</v>
      </c>
      <c r="N67" s="24">
        <v>46653</v>
      </c>
      <c r="O67" s="14" t="s">
        <v>1746</v>
      </c>
      <c r="P67" s="14" t="s">
        <v>1747</v>
      </c>
      <c r="Q67" s="42" t="str">
        <f t="shared" si="0"/>
        <v>https://ec.europa.eu/info/funding-tenders/opportunities/portal/screen/opportunities/topic-details/HORIZON-CL2-2027-01-HERITAGE-02</v>
      </c>
    </row>
    <row r="68" spans="1:17" ht="66" customHeight="1" thickBot="1" x14ac:dyDescent="0.35">
      <c r="A68" s="37" t="s">
        <v>2773</v>
      </c>
      <c r="B68" s="37" t="s">
        <v>2776</v>
      </c>
      <c r="C68" s="37" t="s">
        <v>2777</v>
      </c>
      <c r="D68" s="4" t="s">
        <v>1488</v>
      </c>
      <c r="E68" s="21" t="s">
        <v>648</v>
      </c>
      <c r="F68" s="4" t="s">
        <v>649</v>
      </c>
      <c r="G68" s="4" t="s">
        <v>2504</v>
      </c>
      <c r="H68" s="14" t="s">
        <v>2398</v>
      </c>
      <c r="I68" s="14" t="s">
        <v>650</v>
      </c>
      <c r="J68" s="14" t="s">
        <v>651</v>
      </c>
      <c r="K68" s="13" t="s">
        <v>11</v>
      </c>
      <c r="L68" s="13" t="s">
        <v>12</v>
      </c>
      <c r="M68" s="23">
        <v>46520</v>
      </c>
      <c r="N68" s="24">
        <v>46653</v>
      </c>
      <c r="O68" s="14" t="s">
        <v>1748</v>
      </c>
      <c r="P68" s="14" t="s">
        <v>1749</v>
      </c>
      <c r="Q68" s="42" t="str">
        <f t="shared" si="0"/>
        <v>https://ec.europa.eu/info/funding-tenders/opportunities/portal/screen/opportunities/topic-details/HORIZON-CL2-2027-01-HERITAGE-03</v>
      </c>
    </row>
    <row r="69" spans="1:17" ht="66" customHeight="1" thickBot="1" x14ac:dyDescent="0.35">
      <c r="A69" s="37" t="s">
        <v>2773</v>
      </c>
      <c r="B69" s="37" t="s">
        <v>2776</v>
      </c>
      <c r="C69" s="37" t="s">
        <v>2777</v>
      </c>
      <c r="D69" s="4" t="s">
        <v>1488</v>
      </c>
      <c r="E69" s="21" t="s">
        <v>652</v>
      </c>
      <c r="F69" s="4" t="s">
        <v>653</v>
      </c>
      <c r="G69" s="4" t="s">
        <v>2505</v>
      </c>
      <c r="H69" s="14" t="s">
        <v>2399</v>
      </c>
      <c r="I69" s="14" t="s">
        <v>654</v>
      </c>
      <c r="J69" s="14" t="s">
        <v>655</v>
      </c>
      <c r="K69" s="13" t="s">
        <v>11</v>
      </c>
      <c r="L69" s="13" t="s">
        <v>12</v>
      </c>
      <c r="M69" s="23">
        <v>46520</v>
      </c>
      <c r="N69" s="24">
        <v>46653</v>
      </c>
      <c r="O69" s="14" t="s">
        <v>1750</v>
      </c>
      <c r="P69" s="14" t="s">
        <v>1751</v>
      </c>
      <c r="Q69" s="42" t="str">
        <f t="shared" si="0"/>
        <v>https://ec.europa.eu/info/funding-tenders/opportunities/portal/screen/opportunities/topic-details/HORIZON-CL2-2027-01-HERITAGE-04</v>
      </c>
    </row>
    <row r="70" spans="1:17" ht="66" customHeight="1" thickBot="1" x14ac:dyDescent="0.35">
      <c r="A70" s="37" t="s">
        <v>2773</v>
      </c>
      <c r="B70" s="37" t="s">
        <v>2776</v>
      </c>
      <c r="C70" s="37" t="s">
        <v>2777</v>
      </c>
      <c r="D70" s="4" t="s">
        <v>1488</v>
      </c>
      <c r="E70" s="21" t="s">
        <v>656</v>
      </c>
      <c r="F70" s="4" t="s">
        <v>657</v>
      </c>
      <c r="G70" s="4" t="s">
        <v>2506</v>
      </c>
      <c r="H70" s="14" t="s">
        <v>2400</v>
      </c>
      <c r="I70" s="14" t="s">
        <v>407</v>
      </c>
      <c r="J70" s="14" t="s">
        <v>658</v>
      </c>
      <c r="K70" s="13" t="s">
        <v>11</v>
      </c>
      <c r="L70" s="13" t="s">
        <v>12</v>
      </c>
      <c r="M70" s="23">
        <v>46520</v>
      </c>
      <c r="N70" s="24">
        <v>46653</v>
      </c>
      <c r="O70" s="14" t="s">
        <v>1752</v>
      </c>
      <c r="P70" s="14" t="s">
        <v>1753</v>
      </c>
      <c r="Q70" s="42" t="str">
        <f t="shared" si="0"/>
        <v>https://ec.europa.eu/info/funding-tenders/opportunities/portal/screen/opportunities/topic-details/HORIZON-CL2-2027-01-HERITAGE-05</v>
      </c>
    </row>
    <row r="71" spans="1:17" ht="66" customHeight="1" thickBot="1" x14ac:dyDescent="0.35">
      <c r="A71" s="37" t="s">
        <v>2773</v>
      </c>
      <c r="B71" s="37" t="s">
        <v>2776</v>
      </c>
      <c r="C71" s="37" t="s">
        <v>2777</v>
      </c>
      <c r="D71" s="4" t="s">
        <v>1488</v>
      </c>
      <c r="E71" s="21" t="s">
        <v>659</v>
      </c>
      <c r="F71" s="4" t="s">
        <v>660</v>
      </c>
      <c r="G71" s="4" t="s">
        <v>2507</v>
      </c>
      <c r="H71" s="14" t="s">
        <v>2401</v>
      </c>
      <c r="I71" s="14" t="s">
        <v>650</v>
      </c>
      <c r="J71" s="14" t="s">
        <v>661</v>
      </c>
      <c r="K71" s="13" t="s">
        <v>11</v>
      </c>
      <c r="L71" s="13" t="s">
        <v>12</v>
      </c>
      <c r="M71" s="23">
        <v>46520</v>
      </c>
      <c r="N71" s="24">
        <v>46653</v>
      </c>
      <c r="O71" s="14" t="s">
        <v>1754</v>
      </c>
      <c r="P71" s="14" t="s">
        <v>1755</v>
      </c>
      <c r="Q71" s="42" t="str">
        <f t="shared" si="0"/>
        <v>https://ec.europa.eu/info/funding-tenders/opportunities/portal/screen/opportunities/topic-details/HORIZON-CL2-2027-01-HERITAGE-06</v>
      </c>
    </row>
    <row r="72" spans="1:17" ht="66" customHeight="1" thickBot="1" x14ac:dyDescent="0.35">
      <c r="A72" s="37" t="s">
        <v>2773</v>
      </c>
      <c r="B72" s="37" t="s">
        <v>2776</v>
      </c>
      <c r="C72" s="37" t="s">
        <v>2777</v>
      </c>
      <c r="D72" s="4" t="s">
        <v>1488</v>
      </c>
      <c r="E72" s="21" t="s">
        <v>662</v>
      </c>
      <c r="F72" s="4" t="s">
        <v>663</v>
      </c>
      <c r="G72" s="4" t="s">
        <v>2508</v>
      </c>
      <c r="H72" s="14" t="s">
        <v>2402</v>
      </c>
      <c r="I72" s="14" t="s">
        <v>616</v>
      </c>
      <c r="J72" s="14" t="s">
        <v>664</v>
      </c>
      <c r="K72" s="13" t="s">
        <v>11</v>
      </c>
      <c r="L72" s="13" t="s">
        <v>12</v>
      </c>
      <c r="M72" s="23">
        <v>46520</v>
      </c>
      <c r="N72" s="24">
        <v>46653</v>
      </c>
      <c r="O72" s="14" t="s">
        <v>1756</v>
      </c>
      <c r="P72" s="14" t="s">
        <v>1757</v>
      </c>
      <c r="Q72" s="42" t="str">
        <f t="shared" si="0"/>
        <v>https://ec.europa.eu/info/funding-tenders/opportunities/portal/screen/opportunities/topic-details/HORIZON-CL2-2027-01-HERITAGE-07</v>
      </c>
    </row>
    <row r="73" spans="1:17" ht="66" customHeight="1" thickBot="1" x14ac:dyDescent="0.35">
      <c r="A73" s="37" t="s">
        <v>2773</v>
      </c>
      <c r="B73" s="37" t="s">
        <v>2776</v>
      </c>
      <c r="C73" s="37" t="s">
        <v>2777</v>
      </c>
      <c r="D73" s="4" t="s">
        <v>1488</v>
      </c>
      <c r="E73" s="21" t="s">
        <v>665</v>
      </c>
      <c r="F73" s="4" t="s">
        <v>666</v>
      </c>
      <c r="G73" s="4" t="s">
        <v>2509</v>
      </c>
      <c r="H73" s="14" t="s">
        <v>2403</v>
      </c>
      <c r="I73" s="14" t="s">
        <v>616</v>
      </c>
      <c r="J73" s="14" t="s">
        <v>667</v>
      </c>
      <c r="K73" s="13" t="s">
        <v>11</v>
      </c>
      <c r="L73" s="13" t="s">
        <v>12</v>
      </c>
      <c r="M73" s="23">
        <v>46520</v>
      </c>
      <c r="N73" s="24">
        <v>46653</v>
      </c>
      <c r="O73" s="14" t="s">
        <v>1758</v>
      </c>
      <c r="P73" s="14" t="s">
        <v>1759</v>
      </c>
      <c r="Q73" s="42" t="str">
        <f t="shared" ref="Q73:Q136" si="1">"https://ec.europa.eu/info/funding-tenders/opportunities/portal/screen/opportunities/topic-details/" &amp; E73</f>
        <v>https://ec.europa.eu/info/funding-tenders/opportunities/portal/screen/opportunities/topic-details/HORIZON-CL2-2027-01-HERITAGE-08</v>
      </c>
    </row>
    <row r="74" spans="1:17" ht="66" customHeight="1" thickBot="1" x14ac:dyDescent="0.35">
      <c r="A74" s="37" t="s">
        <v>2773</v>
      </c>
      <c r="B74" s="37" t="s">
        <v>2776</v>
      </c>
      <c r="C74" s="37" t="s">
        <v>2777</v>
      </c>
      <c r="D74" s="4" t="s">
        <v>1488</v>
      </c>
      <c r="E74" s="21" t="s">
        <v>668</v>
      </c>
      <c r="F74" s="4" t="s">
        <v>669</v>
      </c>
      <c r="G74" s="4" t="s">
        <v>2510</v>
      </c>
      <c r="H74" s="14" t="s">
        <v>2404</v>
      </c>
      <c r="I74" s="14" t="s">
        <v>670</v>
      </c>
      <c r="J74" s="14" t="s">
        <v>671</v>
      </c>
      <c r="K74" s="13" t="s">
        <v>11</v>
      </c>
      <c r="L74" s="13" t="s">
        <v>35</v>
      </c>
      <c r="M74" s="23">
        <v>46448</v>
      </c>
      <c r="N74" s="24" t="s">
        <v>590</v>
      </c>
      <c r="O74" s="14" t="s">
        <v>1760</v>
      </c>
      <c r="P74" s="14" t="s">
        <v>1761</v>
      </c>
      <c r="Q74" s="42" t="str">
        <f t="shared" si="1"/>
        <v>https://ec.europa.eu/info/funding-tenders/opportunities/portal/screen/opportunities/topic-details/HORIZON-CL2-2027-02-HERITAGE-09-two-stage</v>
      </c>
    </row>
    <row r="75" spans="1:17" ht="66" customHeight="1" thickBot="1" x14ac:dyDescent="0.35">
      <c r="A75" s="37" t="s">
        <v>2773</v>
      </c>
      <c r="B75" s="37" t="s">
        <v>2776</v>
      </c>
      <c r="C75" s="37" t="s">
        <v>2777</v>
      </c>
      <c r="D75" s="4" t="s">
        <v>1488</v>
      </c>
      <c r="E75" s="21" t="s">
        <v>672</v>
      </c>
      <c r="F75" s="4" t="s">
        <v>673</v>
      </c>
      <c r="G75" s="4" t="s">
        <v>2511</v>
      </c>
      <c r="H75" s="14"/>
      <c r="I75" s="14" t="s">
        <v>407</v>
      </c>
      <c r="J75" s="14" t="s">
        <v>674</v>
      </c>
      <c r="K75" s="13" t="s">
        <v>26</v>
      </c>
      <c r="L75" s="13" t="s">
        <v>12</v>
      </c>
      <c r="M75" s="23">
        <v>46154</v>
      </c>
      <c r="N75" s="24">
        <v>46308</v>
      </c>
      <c r="O75" s="14" t="s">
        <v>1762</v>
      </c>
      <c r="P75" s="14" t="s">
        <v>1763</v>
      </c>
      <c r="Q75" s="42" t="str">
        <f t="shared" si="1"/>
        <v>https://ec.europa.eu/info/funding-tenders/opportunities/portal/screen/opportunities/topic-details/HORIZON-CL2-2026-02-TRANSFO-01</v>
      </c>
    </row>
    <row r="76" spans="1:17" ht="66" customHeight="1" thickBot="1" x14ac:dyDescent="0.35">
      <c r="A76" s="37" t="s">
        <v>2773</v>
      </c>
      <c r="B76" s="37" t="s">
        <v>2776</v>
      </c>
      <c r="C76" s="37" t="s">
        <v>2777</v>
      </c>
      <c r="D76" s="4" t="s">
        <v>1488</v>
      </c>
      <c r="E76" s="21" t="s">
        <v>675</v>
      </c>
      <c r="F76" s="4" t="s">
        <v>676</v>
      </c>
      <c r="G76" s="4" t="s">
        <v>2512</v>
      </c>
      <c r="H76" s="14" t="s">
        <v>2405</v>
      </c>
      <c r="I76" s="14" t="s">
        <v>677</v>
      </c>
      <c r="J76" s="14" t="s">
        <v>678</v>
      </c>
      <c r="K76" s="13" t="s">
        <v>11</v>
      </c>
      <c r="L76" s="13" t="s">
        <v>12</v>
      </c>
      <c r="M76" s="23">
        <v>46154</v>
      </c>
      <c r="N76" s="24">
        <v>46288</v>
      </c>
      <c r="O76" s="14" t="s">
        <v>1764</v>
      </c>
      <c r="P76" s="14" t="s">
        <v>1765</v>
      </c>
      <c r="Q76" s="42" t="str">
        <f t="shared" si="1"/>
        <v>https://ec.europa.eu/info/funding-tenders/opportunities/portal/screen/opportunities/topic-details/HORIZON-CL2-2026-01-TRANSFO-02</v>
      </c>
    </row>
    <row r="77" spans="1:17" ht="66" customHeight="1" thickBot="1" x14ac:dyDescent="0.35">
      <c r="A77" s="37" t="s">
        <v>2773</v>
      </c>
      <c r="B77" s="37" t="s">
        <v>2776</v>
      </c>
      <c r="C77" s="37" t="s">
        <v>2777</v>
      </c>
      <c r="D77" s="4" t="s">
        <v>1488</v>
      </c>
      <c r="E77" s="21" t="s">
        <v>679</v>
      </c>
      <c r="F77" s="4" t="s">
        <v>680</v>
      </c>
      <c r="G77" s="4" t="s">
        <v>2513</v>
      </c>
      <c r="H77" s="14" t="s">
        <v>2406</v>
      </c>
      <c r="I77" s="14" t="s">
        <v>681</v>
      </c>
      <c r="J77" s="14" t="s">
        <v>682</v>
      </c>
      <c r="K77" s="13" t="s">
        <v>11</v>
      </c>
      <c r="L77" s="13" t="s">
        <v>12</v>
      </c>
      <c r="M77" s="23">
        <v>46154</v>
      </c>
      <c r="N77" s="24">
        <v>46288</v>
      </c>
      <c r="O77" s="14" t="s">
        <v>1766</v>
      </c>
      <c r="P77" s="14" t="s">
        <v>1767</v>
      </c>
      <c r="Q77" s="42" t="str">
        <f t="shared" si="1"/>
        <v>https://ec.europa.eu/info/funding-tenders/opportunities/portal/screen/opportunities/topic-details/HORIZON-CL2-2026-01-TRANSFO-03</v>
      </c>
    </row>
    <row r="78" spans="1:17" ht="66" customHeight="1" thickBot="1" x14ac:dyDescent="0.35">
      <c r="A78" s="37" t="s">
        <v>2773</v>
      </c>
      <c r="B78" s="37" t="s">
        <v>2776</v>
      </c>
      <c r="C78" s="37" t="s">
        <v>2777</v>
      </c>
      <c r="D78" s="4" t="s">
        <v>1488</v>
      </c>
      <c r="E78" s="21" t="s">
        <v>683</v>
      </c>
      <c r="F78" s="4" t="s">
        <v>684</v>
      </c>
      <c r="G78" s="4" t="s">
        <v>2514</v>
      </c>
      <c r="H78" s="14" t="s">
        <v>2407</v>
      </c>
      <c r="I78" s="14" t="s">
        <v>685</v>
      </c>
      <c r="J78" s="14" t="s">
        <v>686</v>
      </c>
      <c r="K78" s="13" t="s">
        <v>11</v>
      </c>
      <c r="L78" s="13" t="s">
        <v>12</v>
      </c>
      <c r="M78" s="23">
        <v>46154</v>
      </c>
      <c r="N78" s="24">
        <v>46288</v>
      </c>
      <c r="O78" s="14" t="s">
        <v>1768</v>
      </c>
      <c r="P78" s="14" t="s">
        <v>1769</v>
      </c>
      <c r="Q78" s="42" t="str">
        <f t="shared" si="1"/>
        <v>https://ec.europa.eu/info/funding-tenders/opportunities/portal/screen/opportunities/topic-details/HORIZON-CL2-2026-01-TRANSFO-04</v>
      </c>
    </row>
    <row r="79" spans="1:17" ht="66" customHeight="1" thickBot="1" x14ac:dyDescent="0.35">
      <c r="A79" s="37" t="s">
        <v>2773</v>
      </c>
      <c r="B79" s="37" t="s">
        <v>2776</v>
      </c>
      <c r="C79" s="37" t="s">
        <v>2777</v>
      </c>
      <c r="D79" s="4" t="s">
        <v>1488</v>
      </c>
      <c r="E79" s="21" t="s">
        <v>687</v>
      </c>
      <c r="F79" s="4" t="s">
        <v>688</v>
      </c>
      <c r="G79" s="4" t="s">
        <v>2515</v>
      </c>
      <c r="H79" s="14" t="s">
        <v>2406</v>
      </c>
      <c r="I79" s="14" t="s">
        <v>677</v>
      </c>
      <c r="J79" s="14" t="s">
        <v>689</v>
      </c>
      <c r="K79" s="13" t="s">
        <v>11</v>
      </c>
      <c r="L79" s="13" t="s">
        <v>12</v>
      </c>
      <c r="M79" s="23">
        <v>46154</v>
      </c>
      <c r="N79" s="24">
        <v>46288</v>
      </c>
      <c r="O79" s="14" t="s">
        <v>1770</v>
      </c>
      <c r="P79" s="14" t="s">
        <v>1771</v>
      </c>
      <c r="Q79" s="42" t="str">
        <f t="shared" si="1"/>
        <v>https://ec.europa.eu/info/funding-tenders/opportunities/portal/screen/opportunities/topic-details/HORIZON-CL2-2026-01-TRANSFO-05</v>
      </c>
    </row>
    <row r="80" spans="1:17" ht="66" customHeight="1" thickBot="1" x14ac:dyDescent="0.35">
      <c r="A80" s="37" t="s">
        <v>2773</v>
      </c>
      <c r="B80" s="37" t="s">
        <v>2776</v>
      </c>
      <c r="C80" s="37" t="s">
        <v>2777</v>
      </c>
      <c r="D80" s="4" t="s">
        <v>1488</v>
      </c>
      <c r="E80" s="21" t="s">
        <v>690</v>
      </c>
      <c r="F80" s="4" t="s">
        <v>691</v>
      </c>
      <c r="G80" s="4" t="s">
        <v>2516</v>
      </c>
      <c r="H80" s="14" t="s">
        <v>2408</v>
      </c>
      <c r="I80" s="14" t="s">
        <v>378</v>
      </c>
      <c r="J80" s="14" t="s">
        <v>692</v>
      </c>
      <c r="K80" s="13" t="s">
        <v>11</v>
      </c>
      <c r="L80" s="13" t="s">
        <v>12</v>
      </c>
      <c r="M80" s="23">
        <v>46154</v>
      </c>
      <c r="N80" s="24">
        <v>46288</v>
      </c>
      <c r="O80" s="14" t="s">
        <v>1772</v>
      </c>
      <c r="P80" s="14" t="s">
        <v>1773</v>
      </c>
      <c r="Q80" s="42" t="str">
        <f t="shared" si="1"/>
        <v>https://ec.europa.eu/info/funding-tenders/opportunities/portal/screen/opportunities/topic-details/HORIZON-CL2-2026-01-TRANSFO-06</v>
      </c>
    </row>
    <row r="81" spans="1:17" ht="66" customHeight="1" thickBot="1" x14ac:dyDescent="0.35">
      <c r="A81" s="37" t="s">
        <v>2773</v>
      </c>
      <c r="B81" s="37" t="s">
        <v>2776</v>
      </c>
      <c r="C81" s="37" t="s">
        <v>2777</v>
      </c>
      <c r="D81" s="4" t="s">
        <v>1488</v>
      </c>
      <c r="E81" s="21" t="s">
        <v>693</v>
      </c>
      <c r="F81" s="4" t="s">
        <v>694</v>
      </c>
      <c r="G81" s="4" t="s">
        <v>2517</v>
      </c>
      <c r="H81" s="14" t="s">
        <v>2409</v>
      </c>
      <c r="I81" s="14" t="s">
        <v>361</v>
      </c>
      <c r="J81" s="14" t="s">
        <v>695</v>
      </c>
      <c r="K81" s="13" t="s">
        <v>11</v>
      </c>
      <c r="L81" s="13" t="s">
        <v>12</v>
      </c>
      <c r="M81" s="23">
        <v>46154</v>
      </c>
      <c r="N81" s="24">
        <v>46288</v>
      </c>
      <c r="O81" s="14" t="s">
        <v>1774</v>
      </c>
      <c r="P81" s="14" t="s">
        <v>1775</v>
      </c>
      <c r="Q81" s="42" t="str">
        <f t="shared" si="1"/>
        <v>https://ec.europa.eu/info/funding-tenders/opportunities/portal/screen/opportunities/topic-details/HORIZON-CL2-2026-01-TRANSFO-07</v>
      </c>
    </row>
    <row r="82" spans="1:17" ht="66" customHeight="1" thickBot="1" x14ac:dyDescent="0.35">
      <c r="A82" s="37" t="s">
        <v>2773</v>
      </c>
      <c r="B82" s="37" t="s">
        <v>2776</v>
      </c>
      <c r="C82" s="37" t="s">
        <v>2777</v>
      </c>
      <c r="D82" s="4" t="s">
        <v>1488</v>
      </c>
      <c r="E82" s="21" t="s">
        <v>696</v>
      </c>
      <c r="F82" s="4" t="s">
        <v>697</v>
      </c>
      <c r="G82" s="4" t="s">
        <v>2518</v>
      </c>
      <c r="H82" s="14" t="s">
        <v>2410</v>
      </c>
      <c r="I82" s="14" t="s">
        <v>698</v>
      </c>
      <c r="J82" s="14" t="s">
        <v>699</v>
      </c>
      <c r="K82" s="13" t="s">
        <v>11</v>
      </c>
      <c r="L82" s="13" t="s">
        <v>12</v>
      </c>
      <c r="M82" s="23">
        <v>46154</v>
      </c>
      <c r="N82" s="24">
        <v>46288</v>
      </c>
      <c r="O82" s="14" t="s">
        <v>1776</v>
      </c>
      <c r="P82" s="14" t="s">
        <v>1777</v>
      </c>
      <c r="Q82" s="42" t="str">
        <f t="shared" si="1"/>
        <v>https://ec.europa.eu/info/funding-tenders/opportunities/portal/screen/opportunities/topic-details/HORIZON-CL2-2026-01-TRANSFO-08</v>
      </c>
    </row>
    <row r="83" spans="1:17" ht="66" customHeight="1" thickBot="1" x14ac:dyDescent="0.35">
      <c r="A83" s="37" t="s">
        <v>2773</v>
      </c>
      <c r="B83" s="37" t="s">
        <v>2776</v>
      </c>
      <c r="C83" s="37" t="s">
        <v>2777</v>
      </c>
      <c r="D83" s="4" t="s">
        <v>1488</v>
      </c>
      <c r="E83" s="21" t="s">
        <v>700</v>
      </c>
      <c r="F83" s="4" t="s">
        <v>701</v>
      </c>
      <c r="G83" s="4" t="s">
        <v>2519</v>
      </c>
      <c r="H83" s="14" t="s">
        <v>2411</v>
      </c>
      <c r="I83" s="14" t="s">
        <v>698</v>
      </c>
      <c r="J83" s="14" t="s">
        <v>702</v>
      </c>
      <c r="K83" s="13" t="s">
        <v>11</v>
      </c>
      <c r="L83" s="13" t="s">
        <v>12</v>
      </c>
      <c r="M83" s="23">
        <v>46154</v>
      </c>
      <c r="N83" s="24">
        <v>46288</v>
      </c>
      <c r="O83" s="14" t="s">
        <v>1778</v>
      </c>
      <c r="P83" s="14" t="s">
        <v>1779</v>
      </c>
      <c r="Q83" s="42" t="str">
        <f t="shared" si="1"/>
        <v>https://ec.europa.eu/info/funding-tenders/opportunities/portal/screen/opportunities/topic-details/HORIZON-CL2-2026-01-TRANSFO-09</v>
      </c>
    </row>
    <row r="84" spans="1:17" ht="66" customHeight="1" thickBot="1" x14ac:dyDescent="0.35">
      <c r="A84" s="37" t="s">
        <v>2773</v>
      </c>
      <c r="B84" s="37" t="s">
        <v>2776</v>
      </c>
      <c r="C84" s="37" t="s">
        <v>2777</v>
      </c>
      <c r="D84" s="4" t="s">
        <v>1488</v>
      </c>
      <c r="E84" s="21" t="s">
        <v>703</v>
      </c>
      <c r="F84" s="4" t="s">
        <v>704</v>
      </c>
      <c r="G84" s="4" t="s">
        <v>2520</v>
      </c>
      <c r="H84" s="14" t="s">
        <v>2412</v>
      </c>
      <c r="I84" s="14" t="s">
        <v>407</v>
      </c>
      <c r="J84" s="14" t="s">
        <v>705</v>
      </c>
      <c r="K84" s="13" t="s">
        <v>16</v>
      </c>
      <c r="L84" s="13" t="s">
        <v>12</v>
      </c>
      <c r="M84" s="23">
        <v>46154</v>
      </c>
      <c r="N84" s="24">
        <v>46288</v>
      </c>
      <c r="O84" s="14" t="s">
        <v>1780</v>
      </c>
      <c r="P84" s="14" t="s">
        <v>1781</v>
      </c>
      <c r="Q84" s="42" t="str">
        <f t="shared" si="1"/>
        <v>https://ec.europa.eu/info/funding-tenders/opportunities/portal/screen/opportunities/topic-details/HORIZON-CL2-2026-01-TRANSFO-10</v>
      </c>
    </row>
    <row r="85" spans="1:17" ht="66" customHeight="1" thickBot="1" x14ac:dyDescent="0.35">
      <c r="A85" s="37" t="s">
        <v>2773</v>
      </c>
      <c r="B85" s="37" t="s">
        <v>2776</v>
      </c>
      <c r="C85" s="37" t="s">
        <v>2777</v>
      </c>
      <c r="D85" s="4" t="s">
        <v>1488</v>
      </c>
      <c r="E85" s="21" t="s">
        <v>706</v>
      </c>
      <c r="F85" s="4" t="s">
        <v>707</v>
      </c>
      <c r="G85" s="4" t="s">
        <v>2521</v>
      </c>
      <c r="H85" s="14" t="s">
        <v>2413</v>
      </c>
      <c r="I85" s="14" t="s">
        <v>361</v>
      </c>
      <c r="J85" s="14" t="s">
        <v>708</v>
      </c>
      <c r="K85" s="13" t="s">
        <v>11</v>
      </c>
      <c r="L85" s="13" t="s">
        <v>12</v>
      </c>
      <c r="M85" s="23">
        <v>46520</v>
      </c>
      <c r="N85" s="24">
        <v>46653</v>
      </c>
      <c r="O85" s="14" t="s">
        <v>1782</v>
      </c>
      <c r="P85" s="14" t="s">
        <v>1783</v>
      </c>
      <c r="Q85" s="42" t="str">
        <f t="shared" si="1"/>
        <v>https://ec.europa.eu/info/funding-tenders/opportunities/portal/screen/opportunities/topic-details/HORIZON-CL2-2027-01-TRANSFO-01</v>
      </c>
    </row>
    <row r="86" spans="1:17" ht="66" customHeight="1" thickBot="1" x14ac:dyDescent="0.35">
      <c r="A86" s="37" t="s">
        <v>2773</v>
      </c>
      <c r="B86" s="37" t="s">
        <v>2776</v>
      </c>
      <c r="C86" s="37" t="s">
        <v>2777</v>
      </c>
      <c r="D86" s="4" t="s">
        <v>1488</v>
      </c>
      <c r="E86" s="21" t="s">
        <v>709</v>
      </c>
      <c r="F86" s="4" t="s">
        <v>710</v>
      </c>
      <c r="G86" s="4" t="s">
        <v>2522</v>
      </c>
      <c r="H86" s="14" t="s">
        <v>2414</v>
      </c>
      <c r="I86" s="14" t="s">
        <v>677</v>
      </c>
      <c r="J86" s="14" t="s">
        <v>711</v>
      </c>
      <c r="K86" s="13" t="s">
        <v>11</v>
      </c>
      <c r="L86" s="13" t="s">
        <v>12</v>
      </c>
      <c r="M86" s="23">
        <v>46520</v>
      </c>
      <c r="N86" s="24">
        <v>46653</v>
      </c>
      <c r="O86" s="14" t="s">
        <v>1784</v>
      </c>
      <c r="P86" s="14" t="s">
        <v>1785</v>
      </c>
      <c r="Q86" s="42" t="str">
        <f t="shared" si="1"/>
        <v>https://ec.europa.eu/info/funding-tenders/opportunities/portal/screen/opportunities/topic-details/HORIZON-CL2-2027-01-TRANSFO-02</v>
      </c>
    </row>
    <row r="87" spans="1:17" ht="66" customHeight="1" thickBot="1" x14ac:dyDescent="0.35">
      <c r="A87" s="37" t="s">
        <v>2773</v>
      </c>
      <c r="B87" s="37" t="s">
        <v>2776</v>
      </c>
      <c r="C87" s="37" t="s">
        <v>2777</v>
      </c>
      <c r="D87" s="4" t="s">
        <v>1488</v>
      </c>
      <c r="E87" s="21" t="s">
        <v>712</v>
      </c>
      <c r="F87" s="4" t="s">
        <v>713</v>
      </c>
      <c r="G87" s="4" t="s">
        <v>2523</v>
      </c>
      <c r="H87" s="14" t="s">
        <v>2415</v>
      </c>
      <c r="I87" s="14" t="s">
        <v>407</v>
      </c>
      <c r="J87" s="14" t="s">
        <v>714</v>
      </c>
      <c r="K87" s="13" t="s">
        <v>11</v>
      </c>
      <c r="L87" s="13" t="s">
        <v>12</v>
      </c>
      <c r="M87" s="23">
        <v>46520</v>
      </c>
      <c r="N87" s="24">
        <v>46653</v>
      </c>
      <c r="O87" s="14" t="s">
        <v>1786</v>
      </c>
      <c r="P87" s="14" t="s">
        <v>1787</v>
      </c>
      <c r="Q87" s="42" t="str">
        <f t="shared" si="1"/>
        <v>https://ec.europa.eu/info/funding-tenders/opportunities/portal/screen/opportunities/topic-details/HORIZON-CL2-2027-01-TRANSFO-03</v>
      </c>
    </row>
    <row r="88" spans="1:17" ht="66" customHeight="1" thickBot="1" x14ac:dyDescent="0.35">
      <c r="A88" s="37" t="s">
        <v>2773</v>
      </c>
      <c r="B88" s="37" t="s">
        <v>2776</v>
      </c>
      <c r="C88" s="37" t="s">
        <v>2777</v>
      </c>
      <c r="D88" s="4" t="s">
        <v>1488</v>
      </c>
      <c r="E88" s="21" t="s">
        <v>715</v>
      </c>
      <c r="F88" s="4" t="s">
        <v>716</v>
      </c>
      <c r="G88" s="4" t="s">
        <v>2524</v>
      </c>
      <c r="H88" s="14" t="s">
        <v>2416</v>
      </c>
      <c r="I88" s="14" t="s">
        <v>378</v>
      </c>
      <c r="J88" s="14" t="s">
        <v>717</v>
      </c>
      <c r="K88" s="13" t="s">
        <v>11</v>
      </c>
      <c r="L88" s="13" t="s">
        <v>12</v>
      </c>
      <c r="M88" s="23">
        <v>46520</v>
      </c>
      <c r="N88" s="24">
        <v>46653</v>
      </c>
      <c r="O88" s="14" t="s">
        <v>1788</v>
      </c>
      <c r="P88" s="14" t="s">
        <v>1789</v>
      </c>
      <c r="Q88" s="42" t="str">
        <f t="shared" si="1"/>
        <v>https://ec.europa.eu/info/funding-tenders/opportunities/portal/screen/opportunities/topic-details/HORIZON-CL2-2027-01-TRANSFO-04</v>
      </c>
    </row>
    <row r="89" spans="1:17" ht="66" customHeight="1" thickBot="1" x14ac:dyDescent="0.35">
      <c r="A89" s="37" t="s">
        <v>2773</v>
      </c>
      <c r="B89" s="37" t="s">
        <v>2776</v>
      </c>
      <c r="C89" s="37" t="s">
        <v>2777</v>
      </c>
      <c r="D89" s="4" t="s">
        <v>1488</v>
      </c>
      <c r="E89" s="21" t="s">
        <v>718</v>
      </c>
      <c r="F89" s="4" t="s">
        <v>719</v>
      </c>
      <c r="G89" s="4" t="s">
        <v>2525</v>
      </c>
      <c r="H89" s="14" t="s">
        <v>2417</v>
      </c>
      <c r="I89" s="14" t="s">
        <v>607</v>
      </c>
      <c r="J89" s="14" t="s">
        <v>720</v>
      </c>
      <c r="K89" s="13" t="s">
        <v>11</v>
      </c>
      <c r="L89" s="13" t="s">
        <v>12</v>
      </c>
      <c r="M89" s="23">
        <v>46520</v>
      </c>
      <c r="N89" s="24">
        <v>46653</v>
      </c>
      <c r="O89" s="14" t="s">
        <v>1790</v>
      </c>
      <c r="P89" s="14" t="s">
        <v>1791</v>
      </c>
      <c r="Q89" s="42" t="str">
        <f t="shared" si="1"/>
        <v>https://ec.europa.eu/info/funding-tenders/opportunities/portal/screen/opportunities/topic-details/HORIZON-CL2-2027-01-TRANSFO-05</v>
      </c>
    </row>
    <row r="90" spans="1:17" ht="66" customHeight="1" thickBot="1" x14ac:dyDescent="0.35">
      <c r="A90" s="37" t="s">
        <v>2773</v>
      </c>
      <c r="B90" s="37" t="s">
        <v>2776</v>
      </c>
      <c r="C90" s="37" t="s">
        <v>2777</v>
      </c>
      <c r="D90" s="4" t="s">
        <v>1488</v>
      </c>
      <c r="E90" s="21" t="s">
        <v>721</v>
      </c>
      <c r="F90" s="4" t="s">
        <v>722</v>
      </c>
      <c r="G90" s="4" t="s">
        <v>2526</v>
      </c>
      <c r="H90" s="14" t="s">
        <v>2418</v>
      </c>
      <c r="I90" s="14" t="s">
        <v>681</v>
      </c>
      <c r="J90" s="14" t="s">
        <v>723</v>
      </c>
      <c r="K90" s="13" t="s">
        <v>11</v>
      </c>
      <c r="L90" s="13" t="s">
        <v>12</v>
      </c>
      <c r="M90" s="23">
        <v>46520</v>
      </c>
      <c r="N90" s="24">
        <v>46653</v>
      </c>
      <c r="O90" s="14" t="s">
        <v>1792</v>
      </c>
      <c r="P90" s="14" t="s">
        <v>1793</v>
      </c>
      <c r="Q90" s="42" t="str">
        <f t="shared" si="1"/>
        <v>https://ec.europa.eu/info/funding-tenders/opportunities/portal/screen/opportunities/topic-details/HORIZON-CL2-2027-01-TRANSFO-06</v>
      </c>
    </row>
    <row r="91" spans="1:17" ht="66" customHeight="1" thickBot="1" x14ac:dyDescent="0.35">
      <c r="A91" s="37" t="s">
        <v>2773</v>
      </c>
      <c r="B91" s="37" t="s">
        <v>2776</v>
      </c>
      <c r="C91" s="37" t="s">
        <v>2777</v>
      </c>
      <c r="D91" s="4" t="s">
        <v>1488</v>
      </c>
      <c r="E91" s="21" t="s">
        <v>724</v>
      </c>
      <c r="F91" s="4" t="s">
        <v>725</v>
      </c>
      <c r="G91" s="4" t="s">
        <v>2527</v>
      </c>
      <c r="H91" s="14" t="s">
        <v>2419</v>
      </c>
      <c r="I91" s="14" t="s">
        <v>407</v>
      </c>
      <c r="J91" s="14" t="s">
        <v>726</v>
      </c>
      <c r="K91" s="13" t="s">
        <v>11</v>
      </c>
      <c r="L91" s="13" t="s">
        <v>12</v>
      </c>
      <c r="M91" s="23">
        <v>46520</v>
      </c>
      <c r="N91" s="24">
        <v>46653</v>
      </c>
      <c r="O91" s="14" t="s">
        <v>1794</v>
      </c>
      <c r="P91" s="14" t="s">
        <v>1795</v>
      </c>
      <c r="Q91" s="42" t="str">
        <f t="shared" si="1"/>
        <v>https://ec.europa.eu/info/funding-tenders/opportunities/portal/screen/opportunities/topic-details/HORIZON-CL2-2027-01-TRANSFO-07</v>
      </c>
    </row>
    <row r="92" spans="1:17" ht="66" customHeight="1" thickBot="1" x14ac:dyDescent="0.35">
      <c r="A92" s="37" t="s">
        <v>2773</v>
      </c>
      <c r="B92" s="37" t="s">
        <v>2776</v>
      </c>
      <c r="C92" s="37" t="s">
        <v>2777</v>
      </c>
      <c r="D92" s="4" t="s">
        <v>1488</v>
      </c>
      <c r="E92" s="21" t="s">
        <v>727</v>
      </c>
      <c r="F92" s="4" t="s">
        <v>728</v>
      </c>
      <c r="G92" s="4" t="s">
        <v>2528</v>
      </c>
      <c r="H92" s="14" t="s">
        <v>2420</v>
      </c>
      <c r="I92" s="14" t="s">
        <v>378</v>
      </c>
      <c r="J92" s="14" t="s">
        <v>729</v>
      </c>
      <c r="K92" s="13" t="s">
        <v>50</v>
      </c>
      <c r="L92" s="13" t="s">
        <v>12</v>
      </c>
      <c r="M92" s="23">
        <v>46520</v>
      </c>
      <c r="N92" s="24">
        <v>46653</v>
      </c>
      <c r="O92" s="14" t="s">
        <v>1796</v>
      </c>
      <c r="P92" s="14" t="s">
        <v>1797</v>
      </c>
      <c r="Q92" s="42" t="str">
        <f t="shared" si="1"/>
        <v>https://ec.europa.eu/info/funding-tenders/opportunities/portal/screen/opportunities/topic-details/HORIZON-CL2-2027-01-TRANSFO-08</v>
      </c>
    </row>
    <row r="93" spans="1:17" ht="66" customHeight="1" thickBot="1" x14ac:dyDescent="0.35">
      <c r="A93" s="37" t="s">
        <v>2773</v>
      </c>
      <c r="B93" s="37" t="s">
        <v>2776</v>
      </c>
      <c r="C93" s="37" t="s">
        <v>2777</v>
      </c>
      <c r="D93" s="4" t="s">
        <v>1488</v>
      </c>
      <c r="E93" s="21" t="s">
        <v>730</v>
      </c>
      <c r="F93" s="4" t="s">
        <v>731</v>
      </c>
      <c r="G93" s="4" t="s">
        <v>2529</v>
      </c>
      <c r="H93" s="14" t="s">
        <v>2421</v>
      </c>
      <c r="I93" s="14" t="s">
        <v>732</v>
      </c>
      <c r="J93" s="14" t="s">
        <v>733</v>
      </c>
      <c r="K93" s="13" t="s">
        <v>11</v>
      </c>
      <c r="L93" s="13" t="s">
        <v>35</v>
      </c>
      <c r="M93" s="23">
        <v>46448</v>
      </c>
      <c r="N93" s="24" t="s">
        <v>590</v>
      </c>
      <c r="O93" s="14" t="s">
        <v>1798</v>
      </c>
      <c r="P93" s="14" t="s">
        <v>1799</v>
      </c>
      <c r="Q93" s="42" t="str">
        <f t="shared" si="1"/>
        <v>https://ec.europa.eu/info/funding-tenders/opportunities/portal/screen/opportunities/topic-details/HORIZON-CL2-2027-02-TRANSFO-09-two-stage</v>
      </c>
    </row>
    <row r="94" spans="1:17" ht="66" customHeight="1" thickBot="1" x14ac:dyDescent="0.35">
      <c r="A94" s="37" t="s">
        <v>2773</v>
      </c>
      <c r="B94" s="37" t="s">
        <v>2776</v>
      </c>
      <c r="C94" s="37" t="s">
        <v>2777</v>
      </c>
      <c r="D94" s="4" t="s">
        <v>1489</v>
      </c>
      <c r="E94" s="21" t="s">
        <v>734</v>
      </c>
      <c r="F94" s="4" t="s">
        <v>735</v>
      </c>
      <c r="G94" s="4" t="s">
        <v>2530</v>
      </c>
      <c r="H94" s="14" t="s">
        <v>2422</v>
      </c>
      <c r="I94" s="14" t="s">
        <v>468</v>
      </c>
      <c r="J94" s="14" t="s">
        <v>748</v>
      </c>
      <c r="K94" s="13" t="s">
        <v>11</v>
      </c>
      <c r="L94" s="13" t="s">
        <v>12</v>
      </c>
      <c r="M94" s="23">
        <v>46148</v>
      </c>
      <c r="N94" s="24">
        <v>46331</v>
      </c>
      <c r="O94" s="14" t="s">
        <v>1574</v>
      </c>
      <c r="P94" s="14" t="s">
        <v>1575</v>
      </c>
      <c r="Q94" s="42" t="str">
        <f t="shared" si="1"/>
        <v>https://ec.europa.eu/info/funding-tenders/opportunities/portal/screen/opportunities/topic-details/HORIZON-CL3-2026-01-FCT-01</v>
      </c>
    </row>
    <row r="95" spans="1:17" ht="66" customHeight="1" thickBot="1" x14ac:dyDescent="0.35">
      <c r="A95" s="37" t="s">
        <v>2773</v>
      </c>
      <c r="B95" s="37" t="s">
        <v>2776</v>
      </c>
      <c r="C95" s="37" t="s">
        <v>2777</v>
      </c>
      <c r="D95" s="4" t="s">
        <v>1489</v>
      </c>
      <c r="E95" s="21" t="s">
        <v>736</v>
      </c>
      <c r="F95" s="4" t="s">
        <v>737</v>
      </c>
      <c r="G95" s="4" t="s">
        <v>2531</v>
      </c>
      <c r="H95" s="14"/>
      <c r="I95" s="14" t="s">
        <v>628</v>
      </c>
      <c r="J95" s="14" t="s">
        <v>749</v>
      </c>
      <c r="K95" s="13" t="s">
        <v>11</v>
      </c>
      <c r="L95" s="13" t="s">
        <v>12</v>
      </c>
      <c r="M95" s="23">
        <v>46148</v>
      </c>
      <c r="N95" s="24">
        <v>46331</v>
      </c>
      <c r="O95" s="14" t="s">
        <v>1576</v>
      </c>
      <c r="P95" s="14" t="s">
        <v>1577</v>
      </c>
      <c r="Q95" s="42" t="str">
        <f t="shared" si="1"/>
        <v>https://ec.europa.eu/info/funding-tenders/opportunities/portal/screen/opportunities/topic-details/HORIZON-CL3-2026-01-FCT-02</v>
      </c>
    </row>
    <row r="96" spans="1:17" ht="66" customHeight="1" thickBot="1" x14ac:dyDescent="0.35">
      <c r="A96" s="37" t="s">
        <v>2773</v>
      </c>
      <c r="B96" s="37" t="s">
        <v>2776</v>
      </c>
      <c r="C96" s="37" t="s">
        <v>2777</v>
      </c>
      <c r="D96" s="4" t="s">
        <v>1489</v>
      </c>
      <c r="E96" s="21" t="s">
        <v>750</v>
      </c>
      <c r="F96" s="4" t="s">
        <v>751</v>
      </c>
      <c r="G96" s="4" t="s">
        <v>2532</v>
      </c>
      <c r="H96" s="14"/>
      <c r="I96" s="14" t="s">
        <v>752</v>
      </c>
      <c r="J96" s="14" t="s">
        <v>753</v>
      </c>
      <c r="K96" s="13" t="s">
        <v>50</v>
      </c>
      <c r="L96" s="13" t="s">
        <v>12</v>
      </c>
      <c r="M96" s="23">
        <v>46148</v>
      </c>
      <c r="N96" s="24">
        <v>46331</v>
      </c>
      <c r="O96" s="14" t="s">
        <v>1578</v>
      </c>
      <c r="P96" s="14" t="s">
        <v>1579</v>
      </c>
      <c r="Q96" s="42" t="str">
        <f t="shared" si="1"/>
        <v>https://ec.europa.eu/info/funding-tenders/opportunities/portal/screen/opportunities/topic-details/HORIZON-CL3-2026-01-FCT-03</v>
      </c>
    </row>
    <row r="97" spans="1:17" ht="66" customHeight="1" thickBot="1" x14ac:dyDescent="0.35">
      <c r="A97" s="37" t="s">
        <v>2773</v>
      </c>
      <c r="B97" s="37" t="s">
        <v>2776</v>
      </c>
      <c r="C97" s="37" t="s">
        <v>2777</v>
      </c>
      <c r="D97" s="4" t="s">
        <v>1489</v>
      </c>
      <c r="E97" s="21" t="s">
        <v>754</v>
      </c>
      <c r="F97" s="4" t="s">
        <v>755</v>
      </c>
      <c r="G97" s="4" t="s">
        <v>2533</v>
      </c>
      <c r="H97" s="14" t="s">
        <v>2423</v>
      </c>
      <c r="I97" s="14" t="s">
        <v>681</v>
      </c>
      <c r="J97" s="14" t="s">
        <v>756</v>
      </c>
      <c r="K97" s="13" t="s">
        <v>11</v>
      </c>
      <c r="L97" s="13" t="s">
        <v>12</v>
      </c>
      <c r="M97" s="23">
        <v>46148</v>
      </c>
      <c r="N97" s="24">
        <v>46331</v>
      </c>
      <c r="O97" s="14" t="s">
        <v>1580</v>
      </c>
      <c r="P97" s="14" t="s">
        <v>1581</v>
      </c>
      <c r="Q97" s="42" t="str">
        <f t="shared" si="1"/>
        <v>https://ec.europa.eu/info/funding-tenders/opportunities/portal/screen/opportunities/topic-details/HORIZON-CL3-2026-01-FCT-04</v>
      </c>
    </row>
    <row r="98" spans="1:17" ht="66" customHeight="1" thickBot="1" x14ac:dyDescent="0.35">
      <c r="A98" s="37" t="s">
        <v>2773</v>
      </c>
      <c r="B98" s="37" t="s">
        <v>2776</v>
      </c>
      <c r="C98" s="37" t="s">
        <v>2777</v>
      </c>
      <c r="D98" s="4" t="s">
        <v>1489</v>
      </c>
      <c r="E98" s="21" t="s">
        <v>757</v>
      </c>
      <c r="F98" s="4" t="s">
        <v>758</v>
      </c>
      <c r="G98" s="4" t="s">
        <v>2534</v>
      </c>
      <c r="H98" s="14" t="s">
        <v>2424</v>
      </c>
      <c r="I98" s="14" t="s">
        <v>759</v>
      </c>
      <c r="J98" s="14" t="s">
        <v>760</v>
      </c>
      <c r="K98" s="13" t="s">
        <v>50</v>
      </c>
      <c r="L98" s="13" t="s">
        <v>12</v>
      </c>
      <c r="M98" s="23">
        <v>46148</v>
      </c>
      <c r="N98" s="24">
        <v>46331</v>
      </c>
      <c r="O98" s="14" t="s">
        <v>1582</v>
      </c>
      <c r="P98" s="14" t="s">
        <v>1583</v>
      </c>
      <c r="Q98" s="42" t="str">
        <f t="shared" si="1"/>
        <v>https://ec.europa.eu/info/funding-tenders/opportunities/portal/screen/opportunities/topic-details/HORIZON-CL3-2026-01-FCT-05</v>
      </c>
    </row>
    <row r="99" spans="1:17" ht="66" customHeight="1" thickBot="1" x14ac:dyDescent="0.35">
      <c r="A99" s="37" t="s">
        <v>2773</v>
      </c>
      <c r="B99" s="37" t="s">
        <v>2776</v>
      </c>
      <c r="C99" s="37" t="s">
        <v>2777</v>
      </c>
      <c r="D99" s="4" t="s">
        <v>1489</v>
      </c>
      <c r="E99" s="21" t="s">
        <v>761</v>
      </c>
      <c r="F99" s="4" t="s">
        <v>762</v>
      </c>
      <c r="G99" s="4" t="s">
        <v>2535</v>
      </c>
      <c r="H99" s="14"/>
      <c r="I99" s="14" t="s">
        <v>763</v>
      </c>
      <c r="J99" s="14" t="s">
        <v>764</v>
      </c>
      <c r="K99" s="13" t="s">
        <v>11</v>
      </c>
      <c r="L99" s="13" t="s">
        <v>12</v>
      </c>
      <c r="M99" s="23">
        <v>46148</v>
      </c>
      <c r="N99" s="24">
        <v>46331</v>
      </c>
      <c r="O99" s="14" t="s">
        <v>1584</v>
      </c>
      <c r="P99" s="14" t="s">
        <v>1585</v>
      </c>
      <c r="Q99" s="42" t="str">
        <f t="shared" si="1"/>
        <v>https://ec.europa.eu/info/funding-tenders/opportunities/portal/screen/opportunities/topic-details/HORIZON-CL3-2026-01-FCT-06</v>
      </c>
    </row>
    <row r="100" spans="1:17" ht="66" customHeight="1" thickBot="1" x14ac:dyDescent="0.35">
      <c r="A100" s="37" t="s">
        <v>2773</v>
      </c>
      <c r="B100" s="37" t="s">
        <v>2776</v>
      </c>
      <c r="C100" s="37" t="s">
        <v>2777</v>
      </c>
      <c r="D100" s="4" t="s">
        <v>1489</v>
      </c>
      <c r="E100" s="21" t="s">
        <v>765</v>
      </c>
      <c r="F100" s="4" t="s">
        <v>766</v>
      </c>
      <c r="G100" s="4" t="s">
        <v>2536</v>
      </c>
      <c r="H100" s="14"/>
      <c r="I100" s="14" t="s">
        <v>628</v>
      </c>
      <c r="J100" s="14" t="s">
        <v>767</v>
      </c>
      <c r="K100" s="13" t="s">
        <v>50</v>
      </c>
      <c r="L100" s="13" t="s">
        <v>12</v>
      </c>
      <c r="M100" s="23">
        <v>46512</v>
      </c>
      <c r="N100" s="24">
        <v>46695</v>
      </c>
      <c r="O100" s="14" t="s">
        <v>1586</v>
      </c>
      <c r="P100" s="14" t="s">
        <v>1587</v>
      </c>
      <c r="Q100" s="42" t="str">
        <f t="shared" si="1"/>
        <v>https://ec.europa.eu/info/funding-tenders/opportunities/portal/screen/opportunities/topic-details/HORIZON-CL3-2027-01-FCT-01</v>
      </c>
    </row>
    <row r="101" spans="1:17" ht="66" customHeight="1" thickBot="1" x14ac:dyDescent="0.35">
      <c r="A101" s="37" t="s">
        <v>2773</v>
      </c>
      <c r="B101" s="37" t="s">
        <v>2776</v>
      </c>
      <c r="C101" s="37" t="s">
        <v>2777</v>
      </c>
      <c r="D101" s="4" t="s">
        <v>1489</v>
      </c>
      <c r="E101" s="21" t="s">
        <v>768</v>
      </c>
      <c r="F101" s="4" t="s">
        <v>769</v>
      </c>
      <c r="G101" s="4" t="s">
        <v>2537</v>
      </c>
      <c r="H101" s="14" t="s">
        <v>2425</v>
      </c>
      <c r="I101" s="14" t="s">
        <v>770</v>
      </c>
      <c r="J101" s="14" t="s">
        <v>771</v>
      </c>
      <c r="K101" s="13" t="s">
        <v>50</v>
      </c>
      <c r="L101" s="13" t="s">
        <v>12</v>
      </c>
      <c r="M101" s="23">
        <v>46512</v>
      </c>
      <c r="N101" s="24">
        <v>46695</v>
      </c>
      <c r="O101" s="14" t="s">
        <v>1588</v>
      </c>
      <c r="P101" s="14" t="s">
        <v>1589</v>
      </c>
      <c r="Q101" s="42" t="str">
        <f t="shared" si="1"/>
        <v>https://ec.europa.eu/info/funding-tenders/opportunities/portal/screen/opportunities/topic-details/HORIZON-CL3-2027-01-FCT-02</v>
      </c>
    </row>
    <row r="102" spans="1:17" ht="66" customHeight="1" thickBot="1" x14ac:dyDescent="0.35">
      <c r="A102" s="37" t="s">
        <v>2773</v>
      </c>
      <c r="B102" s="37" t="s">
        <v>2776</v>
      </c>
      <c r="C102" s="37" t="s">
        <v>2777</v>
      </c>
      <c r="D102" s="4" t="s">
        <v>1489</v>
      </c>
      <c r="E102" s="21" t="s">
        <v>772</v>
      </c>
      <c r="F102" s="4" t="s">
        <v>773</v>
      </c>
      <c r="G102" s="4" t="s">
        <v>2538</v>
      </c>
      <c r="H102" s="14" t="s">
        <v>2426</v>
      </c>
      <c r="I102" s="14" t="s">
        <v>774</v>
      </c>
      <c r="J102" s="14" t="s">
        <v>775</v>
      </c>
      <c r="K102" s="13" t="s">
        <v>11</v>
      </c>
      <c r="L102" s="13" t="s">
        <v>12</v>
      </c>
      <c r="M102" s="23">
        <v>46512</v>
      </c>
      <c r="N102" s="24">
        <v>46695</v>
      </c>
      <c r="O102" s="14" t="s">
        <v>1590</v>
      </c>
      <c r="P102" s="14" t="s">
        <v>1591</v>
      </c>
      <c r="Q102" s="42" t="str">
        <f t="shared" si="1"/>
        <v>https://ec.europa.eu/info/funding-tenders/opportunities/portal/screen/opportunities/topic-details/HORIZON-CL3-2027-01-FCT-03</v>
      </c>
    </row>
    <row r="103" spans="1:17" ht="66" customHeight="1" thickBot="1" x14ac:dyDescent="0.35">
      <c r="A103" s="37" t="s">
        <v>2773</v>
      </c>
      <c r="B103" s="37" t="s">
        <v>2776</v>
      </c>
      <c r="C103" s="37" t="s">
        <v>2777</v>
      </c>
      <c r="D103" s="4" t="s">
        <v>1489</v>
      </c>
      <c r="E103" s="21" t="s">
        <v>776</v>
      </c>
      <c r="F103" s="4" t="s">
        <v>777</v>
      </c>
      <c r="G103" s="4" t="s">
        <v>2539</v>
      </c>
      <c r="H103" s="14"/>
      <c r="I103" s="14" t="s">
        <v>778</v>
      </c>
      <c r="J103" s="14" t="s">
        <v>779</v>
      </c>
      <c r="K103" s="13" t="s">
        <v>50</v>
      </c>
      <c r="L103" s="13" t="s">
        <v>12</v>
      </c>
      <c r="M103" s="23">
        <v>46512</v>
      </c>
      <c r="N103" s="24">
        <v>46695</v>
      </c>
      <c r="O103" s="14" t="s">
        <v>1592</v>
      </c>
      <c r="P103" s="14" t="s">
        <v>1593</v>
      </c>
      <c r="Q103" s="42" t="str">
        <f t="shared" si="1"/>
        <v>https://ec.europa.eu/info/funding-tenders/opportunities/portal/screen/opportunities/topic-details/HORIZON-CL3-2027-01-FCT-04</v>
      </c>
    </row>
    <row r="104" spans="1:17" ht="66" customHeight="1" thickBot="1" x14ac:dyDescent="0.35">
      <c r="A104" s="37" t="s">
        <v>2773</v>
      </c>
      <c r="B104" s="37" t="s">
        <v>2776</v>
      </c>
      <c r="C104" s="37" t="s">
        <v>2777</v>
      </c>
      <c r="D104" s="4" t="s">
        <v>1489</v>
      </c>
      <c r="E104" s="21" t="s">
        <v>780</v>
      </c>
      <c r="F104" s="4" t="s">
        <v>781</v>
      </c>
      <c r="G104" s="4" t="s">
        <v>2540</v>
      </c>
      <c r="H104" s="14" t="s">
        <v>2427</v>
      </c>
      <c r="I104" s="14" t="s">
        <v>89</v>
      </c>
      <c r="J104" s="14" t="s">
        <v>782</v>
      </c>
      <c r="K104" s="13" t="s">
        <v>50</v>
      </c>
      <c r="L104" s="13" t="s">
        <v>12</v>
      </c>
      <c r="M104" s="23">
        <v>46512</v>
      </c>
      <c r="N104" s="24">
        <v>46695</v>
      </c>
      <c r="O104" s="14" t="s">
        <v>1594</v>
      </c>
      <c r="P104" s="14" t="s">
        <v>1595</v>
      </c>
      <c r="Q104" s="42" t="str">
        <f t="shared" si="1"/>
        <v>https://ec.europa.eu/info/funding-tenders/opportunities/portal/screen/opportunities/topic-details/HORIZON-CL3-2027-01-FCT-05</v>
      </c>
    </row>
    <row r="105" spans="1:17" ht="66" customHeight="1" thickBot="1" x14ac:dyDescent="0.35">
      <c r="A105" s="37" t="s">
        <v>2773</v>
      </c>
      <c r="B105" s="37" t="s">
        <v>2776</v>
      </c>
      <c r="C105" s="37" t="s">
        <v>2777</v>
      </c>
      <c r="D105" s="4" t="s">
        <v>1489</v>
      </c>
      <c r="E105" s="21" t="s">
        <v>738</v>
      </c>
      <c r="F105" s="4" t="s">
        <v>739</v>
      </c>
      <c r="G105" s="4" t="s">
        <v>2541</v>
      </c>
      <c r="H105" s="14"/>
      <c r="I105" s="14" t="s">
        <v>783</v>
      </c>
      <c r="J105" s="14" t="s">
        <v>784</v>
      </c>
      <c r="K105" s="13" t="s">
        <v>50</v>
      </c>
      <c r="L105" s="13" t="s">
        <v>12</v>
      </c>
      <c r="M105" s="23">
        <v>46148</v>
      </c>
      <c r="N105" s="24">
        <v>46331</v>
      </c>
      <c r="O105" s="14" t="s">
        <v>1596</v>
      </c>
      <c r="P105" s="14" t="s">
        <v>1597</v>
      </c>
      <c r="Q105" s="42" t="str">
        <f t="shared" si="1"/>
        <v>https://ec.europa.eu/info/funding-tenders/opportunities/portal/screen/opportunities/topic-details/HORIZON-CL3-2026-01-BM-01</v>
      </c>
    </row>
    <row r="106" spans="1:17" ht="66" customHeight="1" thickBot="1" x14ac:dyDescent="0.35">
      <c r="A106" s="37" t="s">
        <v>2773</v>
      </c>
      <c r="B106" s="37" t="s">
        <v>2776</v>
      </c>
      <c r="C106" s="37" t="s">
        <v>2777</v>
      </c>
      <c r="D106" s="4" t="s">
        <v>1489</v>
      </c>
      <c r="E106" s="21" t="s">
        <v>785</v>
      </c>
      <c r="F106" s="4" t="s">
        <v>786</v>
      </c>
      <c r="G106" s="4" t="s">
        <v>2542</v>
      </c>
      <c r="H106" s="14"/>
      <c r="I106" s="14" t="s">
        <v>628</v>
      </c>
      <c r="J106" s="14" t="s">
        <v>787</v>
      </c>
      <c r="K106" s="13" t="s">
        <v>50</v>
      </c>
      <c r="L106" s="13" t="s">
        <v>12</v>
      </c>
      <c r="M106" s="23">
        <v>46148</v>
      </c>
      <c r="N106" s="24">
        <v>46331</v>
      </c>
      <c r="O106" s="14" t="s">
        <v>1598</v>
      </c>
      <c r="P106" s="14" t="s">
        <v>1599</v>
      </c>
      <c r="Q106" s="42" t="str">
        <f t="shared" si="1"/>
        <v>https://ec.europa.eu/info/funding-tenders/opportunities/portal/screen/opportunities/topic-details/HORIZON-CL3-2026-01-BM-02</v>
      </c>
    </row>
    <row r="107" spans="1:17" ht="66" customHeight="1" thickBot="1" x14ac:dyDescent="0.35">
      <c r="A107" s="37" t="s">
        <v>2773</v>
      </c>
      <c r="B107" s="37" t="s">
        <v>2776</v>
      </c>
      <c r="C107" s="37" t="s">
        <v>2777</v>
      </c>
      <c r="D107" s="4" t="s">
        <v>1489</v>
      </c>
      <c r="E107" s="21" t="s">
        <v>788</v>
      </c>
      <c r="F107" s="4" t="s">
        <v>789</v>
      </c>
      <c r="G107" s="4" t="s">
        <v>2543</v>
      </c>
      <c r="H107" s="14"/>
      <c r="I107" s="14" t="s">
        <v>179</v>
      </c>
      <c r="J107" s="14" t="s">
        <v>790</v>
      </c>
      <c r="K107" s="13" t="s">
        <v>16</v>
      </c>
      <c r="L107" s="13" t="s">
        <v>12</v>
      </c>
      <c r="M107" s="23">
        <v>46148</v>
      </c>
      <c r="N107" s="24">
        <v>46331</v>
      </c>
      <c r="O107" s="14" t="s">
        <v>1600</v>
      </c>
      <c r="P107" s="14" t="s">
        <v>1601</v>
      </c>
      <c r="Q107" s="42" t="str">
        <f t="shared" si="1"/>
        <v>https://ec.europa.eu/info/funding-tenders/opportunities/portal/screen/opportunities/topic-details/HORIZON-CL3-2026-01-BM-03</v>
      </c>
    </row>
    <row r="108" spans="1:17" ht="66" customHeight="1" thickBot="1" x14ac:dyDescent="0.35">
      <c r="A108" s="37" t="s">
        <v>2773</v>
      </c>
      <c r="B108" s="37" t="s">
        <v>2776</v>
      </c>
      <c r="C108" s="37" t="s">
        <v>2777</v>
      </c>
      <c r="D108" s="4" t="s">
        <v>1489</v>
      </c>
      <c r="E108" s="21" t="s">
        <v>791</v>
      </c>
      <c r="F108" s="4" t="s">
        <v>792</v>
      </c>
      <c r="G108" s="4" t="s">
        <v>2544</v>
      </c>
      <c r="H108" s="14"/>
      <c r="I108" s="14" t="s">
        <v>632</v>
      </c>
      <c r="J108" s="14" t="s">
        <v>793</v>
      </c>
      <c r="K108" s="13" t="s">
        <v>11</v>
      </c>
      <c r="L108" s="13" t="s">
        <v>12</v>
      </c>
      <c r="M108" s="23">
        <v>46512</v>
      </c>
      <c r="N108" s="24">
        <v>46695</v>
      </c>
      <c r="O108" s="14" t="s">
        <v>1602</v>
      </c>
      <c r="P108" s="14" t="s">
        <v>1603</v>
      </c>
      <c r="Q108" s="42" t="str">
        <f t="shared" si="1"/>
        <v>https://ec.europa.eu/info/funding-tenders/opportunities/portal/screen/opportunities/topic-details/HORIZON-CL3-2027-01-BM-01</v>
      </c>
    </row>
    <row r="109" spans="1:17" ht="66" customHeight="1" thickBot="1" x14ac:dyDescent="0.35">
      <c r="A109" s="37" t="s">
        <v>2773</v>
      </c>
      <c r="B109" s="37" t="s">
        <v>2776</v>
      </c>
      <c r="C109" s="37" t="s">
        <v>2777</v>
      </c>
      <c r="D109" s="4" t="s">
        <v>1489</v>
      </c>
      <c r="E109" s="21" t="s">
        <v>744</v>
      </c>
      <c r="F109" s="4" t="s">
        <v>745</v>
      </c>
      <c r="G109" s="4" t="s">
        <v>2545</v>
      </c>
      <c r="H109" s="14"/>
      <c r="I109" s="14" t="s">
        <v>794</v>
      </c>
      <c r="J109" s="14" t="s">
        <v>795</v>
      </c>
      <c r="K109" s="13" t="s">
        <v>11</v>
      </c>
      <c r="L109" s="13" t="s">
        <v>12</v>
      </c>
      <c r="M109" s="23">
        <v>46512</v>
      </c>
      <c r="N109" s="24">
        <v>46695</v>
      </c>
      <c r="O109" s="14" t="s">
        <v>1604</v>
      </c>
      <c r="P109" s="14" t="s">
        <v>1605</v>
      </c>
      <c r="Q109" s="42" t="str">
        <f t="shared" si="1"/>
        <v>https://ec.europa.eu/info/funding-tenders/opportunities/portal/screen/opportunities/topic-details/HORIZON-CL3-2027-01-BM-02</v>
      </c>
    </row>
    <row r="110" spans="1:17" ht="66" customHeight="1" thickBot="1" x14ac:dyDescent="0.35">
      <c r="A110" s="37" t="s">
        <v>2773</v>
      </c>
      <c r="B110" s="37" t="s">
        <v>2776</v>
      </c>
      <c r="C110" s="37" t="s">
        <v>2777</v>
      </c>
      <c r="D110" s="4" t="s">
        <v>1489</v>
      </c>
      <c r="E110" s="21" t="s">
        <v>796</v>
      </c>
      <c r="F110" s="4" t="s">
        <v>797</v>
      </c>
      <c r="G110" s="4" t="s">
        <v>2546</v>
      </c>
      <c r="H110" s="14"/>
      <c r="I110" s="14" t="s">
        <v>798</v>
      </c>
      <c r="J110" s="14" t="s">
        <v>799</v>
      </c>
      <c r="K110" s="13" t="s">
        <v>11</v>
      </c>
      <c r="L110" s="13" t="s">
        <v>12</v>
      </c>
      <c r="M110" s="23">
        <v>46512</v>
      </c>
      <c r="N110" s="24">
        <v>46695</v>
      </c>
      <c r="O110" s="14" t="s">
        <v>1606</v>
      </c>
      <c r="P110" s="14" t="s">
        <v>1607</v>
      </c>
      <c r="Q110" s="42" t="str">
        <f t="shared" si="1"/>
        <v>https://ec.europa.eu/info/funding-tenders/opportunities/portal/screen/opportunities/topic-details/HORIZON-CL3-2027-01-BM-03</v>
      </c>
    </row>
    <row r="111" spans="1:17" ht="66" customHeight="1" thickBot="1" x14ac:dyDescent="0.35">
      <c r="A111" s="37" t="s">
        <v>2773</v>
      </c>
      <c r="B111" s="37" t="s">
        <v>2776</v>
      </c>
      <c r="C111" s="37" t="s">
        <v>2777</v>
      </c>
      <c r="D111" s="4" t="s">
        <v>1489</v>
      </c>
      <c r="E111" s="21" t="s">
        <v>740</v>
      </c>
      <c r="F111" s="4" t="s">
        <v>741</v>
      </c>
      <c r="G111" s="4" t="s">
        <v>2547</v>
      </c>
      <c r="H111" s="14"/>
      <c r="I111" s="14" t="s">
        <v>800</v>
      </c>
      <c r="J111" s="14" t="s">
        <v>801</v>
      </c>
      <c r="K111" s="13" t="s">
        <v>50</v>
      </c>
      <c r="L111" s="13" t="s">
        <v>12</v>
      </c>
      <c r="M111" s="23">
        <v>46148</v>
      </c>
      <c r="N111" s="24">
        <v>46331</v>
      </c>
      <c r="O111" s="14" t="s">
        <v>1608</v>
      </c>
      <c r="P111" s="14" t="s">
        <v>1609</v>
      </c>
      <c r="Q111" s="42" t="str">
        <f t="shared" si="1"/>
        <v>https://ec.europa.eu/info/funding-tenders/opportunities/portal/screen/opportunities/topic-details/HORIZON-CL3-2026-01-INFRA-01</v>
      </c>
    </row>
    <row r="112" spans="1:17" ht="66" customHeight="1" thickBot="1" x14ac:dyDescent="0.35">
      <c r="A112" s="37" t="s">
        <v>2773</v>
      </c>
      <c r="B112" s="37" t="s">
        <v>2776</v>
      </c>
      <c r="C112" s="37" t="s">
        <v>2777</v>
      </c>
      <c r="D112" s="4" t="s">
        <v>1489</v>
      </c>
      <c r="E112" s="21" t="s">
        <v>802</v>
      </c>
      <c r="F112" s="4" t="s">
        <v>803</v>
      </c>
      <c r="G112" s="4" t="s">
        <v>2548</v>
      </c>
      <c r="H112" s="14"/>
      <c r="I112" s="14" t="s">
        <v>393</v>
      </c>
      <c r="J112" s="14" t="s">
        <v>804</v>
      </c>
      <c r="K112" s="13" t="s">
        <v>11</v>
      </c>
      <c r="L112" s="13" t="s">
        <v>12</v>
      </c>
      <c r="M112" s="23">
        <v>46148</v>
      </c>
      <c r="N112" s="24">
        <v>46331</v>
      </c>
      <c r="O112" s="14" t="s">
        <v>1610</v>
      </c>
      <c r="P112" s="14" t="s">
        <v>1611</v>
      </c>
      <c r="Q112" s="42" t="str">
        <f t="shared" si="1"/>
        <v>https://ec.europa.eu/info/funding-tenders/opportunities/portal/screen/opportunities/topic-details/HORIZON-CL3-2026-01-INFRA-02</v>
      </c>
    </row>
    <row r="113" spans="1:17" ht="66" customHeight="1" thickBot="1" x14ac:dyDescent="0.35">
      <c r="A113" s="37" t="s">
        <v>2773</v>
      </c>
      <c r="B113" s="37" t="s">
        <v>2776</v>
      </c>
      <c r="C113" s="37" t="s">
        <v>2777</v>
      </c>
      <c r="D113" s="4" t="s">
        <v>1489</v>
      </c>
      <c r="E113" s="21" t="s">
        <v>805</v>
      </c>
      <c r="F113" s="4" t="s">
        <v>806</v>
      </c>
      <c r="G113" s="4" t="s">
        <v>2549</v>
      </c>
      <c r="H113" s="14"/>
      <c r="I113" s="14" t="s">
        <v>440</v>
      </c>
      <c r="J113" s="14" t="s">
        <v>807</v>
      </c>
      <c r="K113" s="13" t="s">
        <v>50</v>
      </c>
      <c r="L113" s="13" t="s">
        <v>12</v>
      </c>
      <c r="M113" s="23">
        <v>46148</v>
      </c>
      <c r="N113" s="24">
        <v>46331</v>
      </c>
      <c r="O113" s="14" t="s">
        <v>1612</v>
      </c>
      <c r="P113" s="14" t="s">
        <v>1613</v>
      </c>
      <c r="Q113" s="42" t="str">
        <f t="shared" si="1"/>
        <v>https://ec.europa.eu/info/funding-tenders/opportunities/portal/screen/opportunities/topic-details/HORIZON-CL3-2026-01-INFRA-03</v>
      </c>
    </row>
    <row r="114" spans="1:17" ht="66" customHeight="1" thickBot="1" x14ac:dyDescent="0.35">
      <c r="A114" s="37" t="s">
        <v>2773</v>
      </c>
      <c r="B114" s="37" t="s">
        <v>2776</v>
      </c>
      <c r="C114" s="37" t="s">
        <v>2777</v>
      </c>
      <c r="D114" s="4" t="s">
        <v>1489</v>
      </c>
      <c r="E114" s="21" t="s">
        <v>808</v>
      </c>
      <c r="F114" s="4" t="s">
        <v>809</v>
      </c>
      <c r="G114" s="4" t="s">
        <v>2550</v>
      </c>
      <c r="H114" s="14"/>
      <c r="I114" s="14" t="s">
        <v>810</v>
      </c>
      <c r="J114" s="14" t="s">
        <v>811</v>
      </c>
      <c r="K114" s="13" t="s">
        <v>50</v>
      </c>
      <c r="L114" s="13" t="s">
        <v>12</v>
      </c>
      <c r="M114" s="23">
        <v>46512</v>
      </c>
      <c r="N114" s="24">
        <v>46695</v>
      </c>
      <c r="O114" s="14" t="s">
        <v>1614</v>
      </c>
      <c r="P114" s="14" t="s">
        <v>1615</v>
      </c>
      <c r="Q114" s="42" t="str">
        <f t="shared" si="1"/>
        <v>https://ec.europa.eu/info/funding-tenders/opportunities/portal/screen/opportunities/topic-details/HORIZON-CL3-2027-01-INFRA-01</v>
      </c>
    </row>
    <row r="115" spans="1:17" ht="66" customHeight="1" thickBot="1" x14ac:dyDescent="0.35">
      <c r="A115" s="37" t="s">
        <v>2773</v>
      </c>
      <c r="B115" s="37" t="s">
        <v>2776</v>
      </c>
      <c r="C115" s="37" t="s">
        <v>2777</v>
      </c>
      <c r="D115" s="4" t="s">
        <v>1489</v>
      </c>
      <c r="E115" s="21" t="s">
        <v>812</v>
      </c>
      <c r="F115" s="4" t="s">
        <v>813</v>
      </c>
      <c r="G115" s="4" t="s">
        <v>2551</v>
      </c>
      <c r="H115" s="14"/>
      <c r="I115" s="14" t="s">
        <v>778</v>
      </c>
      <c r="J115" s="14" t="s">
        <v>814</v>
      </c>
      <c r="K115" s="13" t="s">
        <v>50</v>
      </c>
      <c r="L115" s="13" t="s">
        <v>12</v>
      </c>
      <c r="M115" s="23">
        <v>46512</v>
      </c>
      <c r="N115" s="24">
        <v>46695</v>
      </c>
      <c r="O115" s="14" t="s">
        <v>1616</v>
      </c>
      <c r="P115" s="14" t="s">
        <v>1617</v>
      </c>
      <c r="Q115" s="42" t="str">
        <f t="shared" si="1"/>
        <v>https://ec.europa.eu/info/funding-tenders/opportunities/portal/screen/opportunities/topic-details/HORIZON-CL3-2027-01-INFRA-02</v>
      </c>
    </row>
    <row r="116" spans="1:17" ht="66" customHeight="1" thickBot="1" x14ac:dyDescent="0.35">
      <c r="A116" s="37" t="s">
        <v>2773</v>
      </c>
      <c r="B116" s="37" t="s">
        <v>2776</v>
      </c>
      <c r="C116" s="37" t="s">
        <v>2777</v>
      </c>
      <c r="D116" s="4" t="s">
        <v>1489</v>
      </c>
      <c r="E116" s="21" t="s">
        <v>742</v>
      </c>
      <c r="F116" s="4" t="s">
        <v>743</v>
      </c>
      <c r="G116" s="4" t="s">
        <v>2552</v>
      </c>
      <c r="H116" s="14" t="s">
        <v>2428</v>
      </c>
      <c r="I116" s="14" t="s">
        <v>681</v>
      </c>
      <c r="J116" s="14" t="s">
        <v>815</v>
      </c>
      <c r="K116" s="13" t="s">
        <v>11</v>
      </c>
      <c r="L116" s="13" t="s">
        <v>12</v>
      </c>
      <c r="M116" s="23">
        <v>46148</v>
      </c>
      <c r="N116" s="24">
        <v>46331</v>
      </c>
      <c r="O116" s="14" t="s">
        <v>1618</v>
      </c>
      <c r="P116" s="14" t="s">
        <v>1619</v>
      </c>
      <c r="Q116" s="42" t="str">
        <f t="shared" si="1"/>
        <v>https://ec.europa.eu/info/funding-tenders/opportunities/portal/screen/opportunities/topic-details/HORIZON-CL3-2026-01-DRS-01</v>
      </c>
    </row>
    <row r="117" spans="1:17" ht="66" customHeight="1" thickBot="1" x14ac:dyDescent="0.35">
      <c r="A117" s="37" t="s">
        <v>2773</v>
      </c>
      <c r="B117" s="37" t="s">
        <v>2776</v>
      </c>
      <c r="C117" s="37" t="s">
        <v>2777</v>
      </c>
      <c r="D117" s="4" t="s">
        <v>1489</v>
      </c>
      <c r="E117" s="21" t="s">
        <v>816</v>
      </c>
      <c r="F117" s="4" t="s">
        <v>817</v>
      </c>
      <c r="G117" s="4" t="s">
        <v>2553</v>
      </c>
      <c r="H117" s="14" t="s">
        <v>2429</v>
      </c>
      <c r="I117" s="14" t="s">
        <v>224</v>
      </c>
      <c r="J117" s="14" t="s">
        <v>818</v>
      </c>
      <c r="K117" s="13" t="s">
        <v>50</v>
      </c>
      <c r="L117" s="13" t="s">
        <v>12</v>
      </c>
      <c r="M117" s="23">
        <v>46148</v>
      </c>
      <c r="N117" s="24">
        <v>46331</v>
      </c>
      <c r="O117" s="14" t="s">
        <v>1620</v>
      </c>
      <c r="P117" s="14" t="s">
        <v>1621</v>
      </c>
      <c r="Q117" s="42" t="str">
        <f t="shared" si="1"/>
        <v>https://ec.europa.eu/info/funding-tenders/opportunities/portal/screen/opportunities/topic-details/HORIZON-CL3-2026-01-DRS-02</v>
      </c>
    </row>
    <row r="118" spans="1:17" ht="66" customHeight="1" thickBot="1" x14ac:dyDescent="0.35">
      <c r="A118" s="37" t="s">
        <v>2773</v>
      </c>
      <c r="B118" s="37" t="s">
        <v>2776</v>
      </c>
      <c r="C118" s="37" t="s">
        <v>2777</v>
      </c>
      <c r="D118" s="4" t="s">
        <v>1489</v>
      </c>
      <c r="E118" s="21" t="s">
        <v>819</v>
      </c>
      <c r="F118" s="4" t="s">
        <v>820</v>
      </c>
      <c r="G118" s="4" t="s">
        <v>2554</v>
      </c>
      <c r="H118" s="14"/>
      <c r="I118" s="14" t="s">
        <v>810</v>
      </c>
      <c r="J118" s="14" t="s">
        <v>821</v>
      </c>
      <c r="K118" s="13" t="s">
        <v>50</v>
      </c>
      <c r="L118" s="13" t="s">
        <v>12</v>
      </c>
      <c r="M118" s="23">
        <v>46148</v>
      </c>
      <c r="N118" s="24">
        <v>46331</v>
      </c>
      <c r="O118" s="14" t="s">
        <v>1622</v>
      </c>
      <c r="P118" s="14" t="s">
        <v>1623</v>
      </c>
      <c r="Q118" s="42" t="str">
        <f t="shared" si="1"/>
        <v>https://ec.europa.eu/info/funding-tenders/opportunities/portal/screen/opportunities/topic-details/HORIZON-CL3-2026-01-DRS-03</v>
      </c>
    </row>
    <row r="119" spans="1:17" ht="66" customHeight="1" thickBot="1" x14ac:dyDescent="0.35">
      <c r="A119" s="37" t="s">
        <v>2773</v>
      </c>
      <c r="B119" s="37" t="s">
        <v>2776</v>
      </c>
      <c r="C119" s="37" t="s">
        <v>2777</v>
      </c>
      <c r="D119" s="4" t="s">
        <v>1489</v>
      </c>
      <c r="E119" s="21" t="s">
        <v>822</v>
      </c>
      <c r="F119" s="4" t="s">
        <v>823</v>
      </c>
      <c r="G119" s="4" t="s">
        <v>2555</v>
      </c>
      <c r="H119" s="14"/>
      <c r="I119" s="14" t="s">
        <v>824</v>
      </c>
      <c r="J119" s="14" t="s">
        <v>825</v>
      </c>
      <c r="K119" s="13" t="s">
        <v>50</v>
      </c>
      <c r="L119" s="13" t="s">
        <v>12</v>
      </c>
      <c r="M119" s="23">
        <v>46148</v>
      </c>
      <c r="N119" s="24">
        <v>46331</v>
      </c>
      <c r="O119" s="14" t="s">
        <v>1624</v>
      </c>
      <c r="P119" s="14" t="s">
        <v>1625</v>
      </c>
      <c r="Q119" s="42" t="str">
        <f t="shared" si="1"/>
        <v>https://ec.europa.eu/info/funding-tenders/opportunities/portal/screen/opportunities/topic-details/HORIZON-CL3-2026-01-DRS-04</v>
      </c>
    </row>
    <row r="120" spans="1:17" ht="66" customHeight="1" thickBot="1" x14ac:dyDescent="0.35">
      <c r="A120" s="37" t="s">
        <v>2773</v>
      </c>
      <c r="B120" s="37" t="s">
        <v>2776</v>
      </c>
      <c r="C120" s="37" t="s">
        <v>2777</v>
      </c>
      <c r="D120" s="4" t="s">
        <v>1489</v>
      </c>
      <c r="E120" s="21" t="s">
        <v>826</v>
      </c>
      <c r="F120" s="4" t="s">
        <v>827</v>
      </c>
      <c r="G120" s="4" t="s">
        <v>2556</v>
      </c>
      <c r="H120" s="14"/>
      <c r="I120" s="14" t="s">
        <v>201</v>
      </c>
      <c r="J120" s="14" t="s">
        <v>828</v>
      </c>
      <c r="K120" s="13" t="s">
        <v>50</v>
      </c>
      <c r="L120" s="13" t="s">
        <v>12</v>
      </c>
      <c r="M120" s="23">
        <v>46148</v>
      </c>
      <c r="N120" s="24">
        <v>46331</v>
      </c>
      <c r="O120" s="14" t="s">
        <v>1626</v>
      </c>
      <c r="P120" s="14" t="s">
        <v>1627</v>
      </c>
      <c r="Q120" s="42" t="str">
        <f t="shared" si="1"/>
        <v>https://ec.europa.eu/info/funding-tenders/opportunities/portal/screen/opportunities/topic-details/HORIZON-CL3-2026-01-DRS-05</v>
      </c>
    </row>
    <row r="121" spans="1:17" ht="66" customHeight="1" thickBot="1" x14ac:dyDescent="0.35">
      <c r="A121" s="37" t="s">
        <v>2773</v>
      </c>
      <c r="B121" s="37" t="s">
        <v>2776</v>
      </c>
      <c r="C121" s="37" t="s">
        <v>2777</v>
      </c>
      <c r="D121" s="4" t="s">
        <v>1489</v>
      </c>
      <c r="E121" s="21" t="s">
        <v>829</v>
      </c>
      <c r="F121" s="4" t="s">
        <v>830</v>
      </c>
      <c r="G121" s="4" t="s">
        <v>2557</v>
      </c>
      <c r="H121" s="14"/>
      <c r="I121" s="14" t="s">
        <v>357</v>
      </c>
      <c r="J121" s="14" t="s">
        <v>831</v>
      </c>
      <c r="K121" s="13" t="s">
        <v>50</v>
      </c>
      <c r="L121" s="13" t="s">
        <v>12</v>
      </c>
      <c r="M121" s="23">
        <v>46512</v>
      </c>
      <c r="N121" s="24">
        <v>46695</v>
      </c>
      <c r="O121" s="14" t="s">
        <v>1628</v>
      </c>
      <c r="P121" s="14" t="s">
        <v>1629</v>
      </c>
      <c r="Q121" s="42" t="str">
        <f t="shared" si="1"/>
        <v>https://ec.europa.eu/info/funding-tenders/opportunities/portal/screen/opportunities/topic-details/HORIZON-CL3-2027-01-DRS-01</v>
      </c>
    </row>
    <row r="122" spans="1:17" ht="66" customHeight="1" thickBot="1" x14ac:dyDescent="0.35">
      <c r="A122" s="37" t="s">
        <v>2773</v>
      </c>
      <c r="B122" s="37" t="s">
        <v>2776</v>
      </c>
      <c r="C122" s="37" t="s">
        <v>2777</v>
      </c>
      <c r="D122" s="4" t="s">
        <v>1489</v>
      </c>
      <c r="E122" s="21" t="s">
        <v>832</v>
      </c>
      <c r="F122" s="4" t="s">
        <v>833</v>
      </c>
      <c r="G122" s="4" t="s">
        <v>2558</v>
      </c>
      <c r="H122" s="14" t="s">
        <v>2430</v>
      </c>
      <c r="I122" s="14" t="s">
        <v>681</v>
      </c>
      <c r="J122" s="14" t="s">
        <v>834</v>
      </c>
      <c r="K122" s="13" t="s">
        <v>11</v>
      </c>
      <c r="L122" s="13" t="s">
        <v>12</v>
      </c>
      <c r="M122" s="23">
        <v>46512</v>
      </c>
      <c r="N122" s="24">
        <v>46695</v>
      </c>
      <c r="O122" s="14" t="s">
        <v>1630</v>
      </c>
      <c r="P122" s="14" t="s">
        <v>1631</v>
      </c>
      <c r="Q122" s="42" t="str">
        <f t="shared" si="1"/>
        <v>https://ec.europa.eu/info/funding-tenders/opportunities/portal/screen/opportunities/topic-details/HORIZON-CL3-2027-01-DRS-02</v>
      </c>
    </row>
    <row r="123" spans="1:17" ht="66" customHeight="1" thickBot="1" x14ac:dyDescent="0.35">
      <c r="A123" s="37" t="s">
        <v>2773</v>
      </c>
      <c r="B123" s="37" t="s">
        <v>2776</v>
      </c>
      <c r="C123" s="37" t="s">
        <v>2777</v>
      </c>
      <c r="D123" s="4" t="s">
        <v>1489</v>
      </c>
      <c r="E123" s="21" t="s">
        <v>835</v>
      </c>
      <c r="F123" s="4" t="s">
        <v>836</v>
      </c>
      <c r="G123" s="4" t="s">
        <v>2559</v>
      </c>
      <c r="H123" s="14"/>
      <c r="I123" s="14" t="s">
        <v>794</v>
      </c>
      <c r="J123" s="14" t="s">
        <v>837</v>
      </c>
      <c r="K123" s="13" t="s">
        <v>50</v>
      </c>
      <c r="L123" s="13" t="s">
        <v>12</v>
      </c>
      <c r="M123" s="23">
        <v>46512</v>
      </c>
      <c r="N123" s="24">
        <v>46695</v>
      </c>
      <c r="O123" s="14" t="s">
        <v>1632</v>
      </c>
      <c r="P123" s="14" t="s">
        <v>1633</v>
      </c>
      <c r="Q123" s="42" t="str">
        <f t="shared" si="1"/>
        <v>https://ec.europa.eu/info/funding-tenders/opportunities/portal/screen/opportunities/topic-details/HORIZON-CL3-2027-01-DRS-03</v>
      </c>
    </row>
    <row r="124" spans="1:17" ht="66" customHeight="1" thickBot="1" x14ac:dyDescent="0.35">
      <c r="A124" s="37" t="s">
        <v>2773</v>
      </c>
      <c r="B124" s="37" t="s">
        <v>2776</v>
      </c>
      <c r="C124" s="37" t="s">
        <v>2777</v>
      </c>
      <c r="D124" s="4" t="s">
        <v>1489</v>
      </c>
      <c r="E124" s="21" t="s">
        <v>838</v>
      </c>
      <c r="F124" s="4" t="s">
        <v>839</v>
      </c>
      <c r="G124" s="4" t="s">
        <v>2560</v>
      </c>
      <c r="H124" s="14"/>
      <c r="I124" s="14" t="s">
        <v>628</v>
      </c>
      <c r="J124" s="14" t="s">
        <v>840</v>
      </c>
      <c r="K124" s="13" t="s">
        <v>50</v>
      </c>
      <c r="L124" s="13" t="s">
        <v>12</v>
      </c>
      <c r="M124" s="23">
        <v>46512</v>
      </c>
      <c r="N124" s="24">
        <v>46695</v>
      </c>
      <c r="O124" s="14" t="s">
        <v>1634</v>
      </c>
      <c r="P124" s="14" t="s">
        <v>1635</v>
      </c>
      <c r="Q124" s="42" t="str">
        <f t="shared" si="1"/>
        <v>https://ec.europa.eu/info/funding-tenders/opportunities/portal/screen/opportunities/topic-details/HORIZON-CL3-2027-01-DRS-04</v>
      </c>
    </row>
    <row r="125" spans="1:17" ht="66" customHeight="1" thickBot="1" x14ac:dyDescent="0.35">
      <c r="A125" s="37" t="s">
        <v>2773</v>
      </c>
      <c r="B125" s="37" t="s">
        <v>2776</v>
      </c>
      <c r="C125" s="37" t="s">
        <v>2777</v>
      </c>
      <c r="D125" s="4" t="s">
        <v>1489</v>
      </c>
      <c r="E125" s="21" t="s">
        <v>841</v>
      </c>
      <c r="F125" s="4" t="s">
        <v>842</v>
      </c>
      <c r="G125" s="4" t="s">
        <v>2561</v>
      </c>
      <c r="H125" s="14"/>
      <c r="I125" s="14" t="s">
        <v>628</v>
      </c>
      <c r="J125" s="14" t="s">
        <v>843</v>
      </c>
      <c r="K125" s="13" t="s">
        <v>11</v>
      </c>
      <c r="L125" s="13" t="s">
        <v>12</v>
      </c>
      <c r="M125" s="23">
        <v>46148</v>
      </c>
      <c r="N125" s="24">
        <v>46331</v>
      </c>
      <c r="O125" s="14" t="s">
        <v>1636</v>
      </c>
      <c r="P125" s="14" t="s">
        <v>1637</v>
      </c>
      <c r="Q125" s="42" t="str">
        <f t="shared" si="1"/>
        <v>https://ec.europa.eu/info/funding-tenders/opportunities/portal/screen/opportunities/topic-details/HORIZON-CL3-2026-01-SSRI-01</v>
      </c>
    </row>
    <row r="126" spans="1:17" ht="66" customHeight="1" thickBot="1" x14ac:dyDescent="0.35">
      <c r="A126" s="37" t="s">
        <v>2773</v>
      </c>
      <c r="B126" s="37" t="s">
        <v>2776</v>
      </c>
      <c r="C126" s="37" t="s">
        <v>2777</v>
      </c>
      <c r="D126" s="4" t="s">
        <v>1489</v>
      </c>
      <c r="E126" s="21" t="s">
        <v>746</v>
      </c>
      <c r="F126" s="4" t="s">
        <v>747</v>
      </c>
      <c r="G126" s="4" t="s">
        <v>2562</v>
      </c>
      <c r="H126" s="14"/>
      <c r="I126" s="14" t="s">
        <v>844</v>
      </c>
      <c r="J126" s="14" t="s">
        <v>845</v>
      </c>
      <c r="K126" s="13" t="s">
        <v>61</v>
      </c>
      <c r="L126" s="13" t="s">
        <v>12</v>
      </c>
      <c r="M126" s="23">
        <v>46148</v>
      </c>
      <c r="N126" s="24">
        <v>46331</v>
      </c>
      <c r="O126" s="14" t="s">
        <v>1638</v>
      </c>
      <c r="P126" s="14" t="s">
        <v>1639</v>
      </c>
      <c r="Q126" s="42" t="str">
        <f t="shared" si="1"/>
        <v>https://ec.europa.eu/info/funding-tenders/opportunities/portal/screen/opportunities/topic-details/HORIZON-CL3-2026-01-SSRI-02</v>
      </c>
    </row>
    <row r="127" spans="1:17" ht="66" customHeight="1" thickBot="1" x14ac:dyDescent="0.35">
      <c r="A127" s="37" t="s">
        <v>2773</v>
      </c>
      <c r="B127" s="37" t="s">
        <v>2776</v>
      </c>
      <c r="C127" s="37" t="s">
        <v>2777</v>
      </c>
      <c r="D127" s="4" t="s">
        <v>1489</v>
      </c>
      <c r="E127" s="21" t="s">
        <v>846</v>
      </c>
      <c r="F127" s="4" t="s">
        <v>847</v>
      </c>
      <c r="G127" s="4" t="s">
        <v>2563</v>
      </c>
      <c r="H127" s="14"/>
      <c r="I127" s="14" t="s">
        <v>848</v>
      </c>
      <c r="J127" s="14" t="s">
        <v>849</v>
      </c>
      <c r="K127" s="13" t="s">
        <v>29</v>
      </c>
      <c r="L127" s="13" t="s">
        <v>12</v>
      </c>
      <c r="M127" s="23">
        <v>46148</v>
      </c>
      <c r="N127" s="24">
        <v>46331</v>
      </c>
      <c r="O127" s="14" t="s">
        <v>1640</v>
      </c>
      <c r="P127" s="14" t="s">
        <v>1641</v>
      </c>
      <c r="Q127" s="42" t="str">
        <f t="shared" si="1"/>
        <v>https://ec.europa.eu/info/funding-tenders/opportunities/portal/screen/opportunities/topic-details/HORIZON-CL3-2026-01-SSRI-03</v>
      </c>
    </row>
    <row r="128" spans="1:17" ht="66" customHeight="1" thickBot="1" x14ac:dyDescent="0.35">
      <c r="A128" s="37" t="s">
        <v>2773</v>
      </c>
      <c r="B128" s="37" t="s">
        <v>2776</v>
      </c>
      <c r="C128" s="37" t="s">
        <v>2777</v>
      </c>
      <c r="D128" s="4" t="s">
        <v>1489</v>
      </c>
      <c r="E128" s="21" t="s">
        <v>850</v>
      </c>
      <c r="F128" s="4" t="s">
        <v>851</v>
      </c>
      <c r="G128" s="4" t="s">
        <v>2564</v>
      </c>
      <c r="H128" s="14"/>
      <c r="I128" s="14" t="s">
        <v>852</v>
      </c>
      <c r="J128" s="14" t="s">
        <v>853</v>
      </c>
      <c r="K128" s="13" t="s">
        <v>50</v>
      </c>
      <c r="L128" s="13" t="s">
        <v>12</v>
      </c>
      <c r="M128" s="23">
        <v>46148</v>
      </c>
      <c r="N128" s="24">
        <v>46331</v>
      </c>
      <c r="O128" s="14" t="s">
        <v>1642</v>
      </c>
      <c r="P128" s="14" t="s">
        <v>1643</v>
      </c>
      <c r="Q128" s="42" t="str">
        <f t="shared" si="1"/>
        <v>https://ec.europa.eu/info/funding-tenders/opportunities/portal/screen/opportunities/topic-details/HORIZON-CL3-2026-01-SSRI-04</v>
      </c>
    </row>
    <row r="129" spans="1:17" ht="66" customHeight="1" thickBot="1" x14ac:dyDescent="0.35">
      <c r="A129" s="37" t="s">
        <v>2773</v>
      </c>
      <c r="B129" s="37" t="s">
        <v>2776</v>
      </c>
      <c r="C129" s="37" t="s">
        <v>2777</v>
      </c>
      <c r="D129" s="4" t="s">
        <v>1489</v>
      </c>
      <c r="E129" s="21" t="s">
        <v>854</v>
      </c>
      <c r="F129" s="4" t="s">
        <v>855</v>
      </c>
      <c r="G129" s="4" t="s">
        <v>2565</v>
      </c>
      <c r="H129" s="14"/>
      <c r="I129" s="14" t="s">
        <v>844</v>
      </c>
      <c r="J129" s="14" t="s">
        <v>856</v>
      </c>
      <c r="K129" s="13" t="s">
        <v>50</v>
      </c>
      <c r="L129" s="13" t="s">
        <v>12</v>
      </c>
      <c r="M129" s="23">
        <v>46512</v>
      </c>
      <c r="N129" s="24">
        <v>46695</v>
      </c>
      <c r="O129" s="14" t="s">
        <v>1644</v>
      </c>
      <c r="P129" s="14" t="s">
        <v>1645</v>
      </c>
      <c r="Q129" s="42" t="str">
        <f t="shared" si="1"/>
        <v>https://ec.europa.eu/info/funding-tenders/opportunities/portal/screen/opportunities/topic-details/HORIZON-CL3-2027-01-SSRI-01</v>
      </c>
    </row>
    <row r="130" spans="1:17" ht="66" customHeight="1" thickBot="1" x14ac:dyDescent="0.35">
      <c r="A130" s="37" t="s">
        <v>2773</v>
      </c>
      <c r="B130" s="37" t="s">
        <v>2776</v>
      </c>
      <c r="C130" s="37" t="s">
        <v>2777</v>
      </c>
      <c r="D130" s="4" t="s">
        <v>1489</v>
      </c>
      <c r="E130" s="21" t="s">
        <v>857</v>
      </c>
      <c r="F130" s="4" t="s">
        <v>858</v>
      </c>
      <c r="G130" s="4" t="s">
        <v>2566</v>
      </c>
      <c r="H130" s="14"/>
      <c r="I130" s="14" t="s">
        <v>844</v>
      </c>
      <c r="J130" s="14" t="s">
        <v>859</v>
      </c>
      <c r="K130" s="13" t="s">
        <v>16</v>
      </c>
      <c r="L130" s="13" t="s">
        <v>12</v>
      </c>
      <c r="M130" s="23">
        <v>46512</v>
      </c>
      <c r="N130" s="24">
        <v>46695</v>
      </c>
      <c r="O130" s="14" t="s">
        <v>1646</v>
      </c>
      <c r="P130" s="14" t="s">
        <v>1647</v>
      </c>
      <c r="Q130" s="42" t="str">
        <f t="shared" si="1"/>
        <v>https://ec.europa.eu/info/funding-tenders/opportunities/portal/screen/opportunities/topic-details/HORIZON-CL3-2027-01-SSRI-02</v>
      </c>
    </row>
    <row r="131" spans="1:17" ht="66" customHeight="1" thickBot="1" x14ac:dyDescent="0.35">
      <c r="A131" s="37" t="s">
        <v>2773</v>
      </c>
      <c r="B131" s="37" t="s">
        <v>2776</v>
      </c>
      <c r="C131" s="37" t="s">
        <v>2777</v>
      </c>
      <c r="D131" s="4" t="s">
        <v>1489</v>
      </c>
      <c r="E131" s="21" t="s">
        <v>860</v>
      </c>
      <c r="F131" s="4" t="s">
        <v>747</v>
      </c>
      <c r="G131" s="4" t="s">
        <v>2567</v>
      </c>
      <c r="H131" s="14"/>
      <c r="I131" s="14" t="s">
        <v>844</v>
      </c>
      <c r="J131" s="14" t="s">
        <v>861</v>
      </c>
      <c r="K131" s="13" t="s">
        <v>61</v>
      </c>
      <c r="L131" s="13" t="s">
        <v>12</v>
      </c>
      <c r="M131" s="23">
        <v>46512</v>
      </c>
      <c r="N131" s="24">
        <v>46695</v>
      </c>
      <c r="O131" s="14" t="s">
        <v>1648</v>
      </c>
      <c r="P131" s="14" t="s">
        <v>1649</v>
      </c>
      <c r="Q131" s="42" t="str">
        <f t="shared" si="1"/>
        <v>https://ec.europa.eu/info/funding-tenders/opportunities/portal/screen/opportunities/topic-details/HORIZON-CL3-2027-01-SSRI-03</v>
      </c>
    </row>
    <row r="132" spans="1:17" ht="66" customHeight="1" thickBot="1" x14ac:dyDescent="0.35">
      <c r="A132" s="37" t="s">
        <v>2773</v>
      </c>
      <c r="B132" s="37" t="s">
        <v>2776</v>
      </c>
      <c r="C132" s="37" t="s">
        <v>2777</v>
      </c>
      <c r="D132" s="4" t="s">
        <v>1489</v>
      </c>
      <c r="E132" s="21" t="s">
        <v>1650</v>
      </c>
      <c r="F132" s="4" t="s">
        <v>1671</v>
      </c>
      <c r="G132" s="4" t="s">
        <v>1672</v>
      </c>
      <c r="H132" s="14"/>
      <c r="I132" s="14" t="s">
        <v>933</v>
      </c>
      <c r="J132" s="14" t="s">
        <v>1673</v>
      </c>
      <c r="K132" s="13" t="s">
        <v>11</v>
      </c>
      <c r="L132" s="13" t="s">
        <v>12</v>
      </c>
      <c r="M132" s="23">
        <v>46084</v>
      </c>
      <c r="N132" s="24">
        <v>46280</v>
      </c>
      <c r="O132" s="14" t="s">
        <v>1651</v>
      </c>
      <c r="P132" s="14" t="s">
        <v>1652</v>
      </c>
      <c r="Q132" s="42" t="str">
        <f t="shared" si="1"/>
        <v>https://ec.europa.eu/info/funding-tenders/opportunities/portal/screen/opportunities/topic-details/HORIZON-CL3-2026-02-CS-ECCC-01</v>
      </c>
    </row>
    <row r="133" spans="1:17" ht="66" customHeight="1" thickBot="1" x14ac:dyDescent="0.35">
      <c r="A133" s="37" t="s">
        <v>2773</v>
      </c>
      <c r="B133" s="37" t="s">
        <v>2776</v>
      </c>
      <c r="C133" s="37" t="s">
        <v>2777</v>
      </c>
      <c r="D133" s="4" t="s">
        <v>1489</v>
      </c>
      <c r="E133" s="21" t="s">
        <v>1653</v>
      </c>
      <c r="F133" s="4" t="s">
        <v>1674</v>
      </c>
      <c r="G133" s="4" t="s">
        <v>1675</v>
      </c>
      <c r="H133" s="14"/>
      <c r="I133" s="14" t="s">
        <v>933</v>
      </c>
      <c r="J133" s="14" t="s">
        <v>1676</v>
      </c>
      <c r="K133" s="13" t="s">
        <v>50</v>
      </c>
      <c r="L133" s="13" t="s">
        <v>12</v>
      </c>
      <c r="M133" s="23">
        <v>46084</v>
      </c>
      <c r="N133" s="24">
        <v>46280</v>
      </c>
      <c r="O133" s="14" t="s">
        <v>1654</v>
      </c>
      <c r="P133" s="14" t="s">
        <v>1655</v>
      </c>
      <c r="Q133" s="42" t="str">
        <f t="shared" si="1"/>
        <v>https://ec.europa.eu/info/funding-tenders/opportunities/portal/screen/opportunities/topic-details/HORIZON-CL3-2026-02-CS-ECCC-02</v>
      </c>
    </row>
    <row r="134" spans="1:17" ht="66" customHeight="1" thickBot="1" x14ac:dyDescent="0.35">
      <c r="A134" s="37" t="s">
        <v>2773</v>
      </c>
      <c r="B134" s="37" t="s">
        <v>2776</v>
      </c>
      <c r="C134" s="37" t="s">
        <v>2777</v>
      </c>
      <c r="D134" s="4" t="s">
        <v>1489</v>
      </c>
      <c r="E134" s="21" t="s">
        <v>1656</v>
      </c>
      <c r="F134" s="4" t="s">
        <v>1677</v>
      </c>
      <c r="G134" s="4" t="s">
        <v>1678</v>
      </c>
      <c r="H134" s="14"/>
      <c r="I134" s="14" t="s">
        <v>933</v>
      </c>
      <c r="J134" s="14" t="s">
        <v>1679</v>
      </c>
      <c r="K134" s="13" t="s">
        <v>11</v>
      </c>
      <c r="L134" s="13" t="s">
        <v>12</v>
      </c>
      <c r="M134" s="23">
        <v>46084</v>
      </c>
      <c r="N134" s="24">
        <v>46280</v>
      </c>
      <c r="O134" s="14" t="s">
        <v>1657</v>
      </c>
      <c r="P134" s="14" t="s">
        <v>1658</v>
      </c>
      <c r="Q134" s="42" t="str">
        <f t="shared" si="1"/>
        <v>https://ec.europa.eu/info/funding-tenders/opportunities/portal/screen/opportunities/topic-details/HORIZON-CL3-2026-02-CS-ECCC-03</v>
      </c>
    </row>
    <row r="135" spans="1:17" ht="66" customHeight="1" thickBot="1" x14ac:dyDescent="0.35">
      <c r="A135" s="37" t="s">
        <v>2773</v>
      </c>
      <c r="B135" s="37" t="s">
        <v>2776</v>
      </c>
      <c r="C135" s="37" t="s">
        <v>2777</v>
      </c>
      <c r="D135" s="4" t="s">
        <v>1489</v>
      </c>
      <c r="E135" s="21" t="s">
        <v>1659</v>
      </c>
      <c r="F135" s="4" t="s">
        <v>1680</v>
      </c>
      <c r="G135" s="4" t="s">
        <v>1681</v>
      </c>
      <c r="H135" s="14"/>
      <c r="I135" s="14" t="s">
        <v>933</v>
      </c>
      <c r="J135" s="14" t="s">
        <v>1682</v>
      </c>
      <c r="K135" s="13" t="s">
        <v>11</v>
      </c>
      <c r="L135" s="13" t="s">
        <v>12</v>
      </c>
      <c r="M135" s="23">
        <v>46448</v>
      </c>
      <c r="N135" s="24">
        <v>46280</v>
      </c>
      <c r="O135" s="14" t="s">
        <v>1660</v>
      </c>
      <c r="P135" s="14" t="s">
        <v>1661</v>
      </c>
      <c r="Q135" s="42" t="str">
        <f t="shared" si="1"/>
        <v>https://ec.europa.eu/info/funding-tenders/opportunities/portal/screen/opportunities/topic-details/HORIZON-CL3-2027-02-CS-ECCC-01</v>
      </c>
    </row>
    <row r="136" spans="1:17" ht="66" customHeight="1" thickBot="1" x14ac:dyDescent="0.35">
      <c r="A136" s="37" t="s">
        <v>2773</v>
      </c>
      <c r="B136" s="37" t="s">
        <v>2776</v>
      </c>
      <c r="C136" s="37" t="s">
        <v>2777</v>
      </c>
      <c r="D136" s="4" t="s">
        <v>1489</v>
      </c>
      <c r="E136" s="21" t="s">
        <v>1662</v>
      </c>
      <c r="F136" s="4" t="s">
        <v>1683</v>
      </c>
      <c r="G136" s="4" t="s">
        <v>1684</v>
      </c>
      <c r="H136" s="14"/>
      <c r="I136" s="14" t="s">
        <v>933</v>
      </c>
      <c r="J136" s="14" t="s">
        <v>1685</v>
      </c>
      <c r="K136" s="13" t="s">
        <v>50</v>
      </c>
      <c r="L136" s="13" t="s">
        <v>12</v>
      </c>
      <c r="M136" s="23">
        <v>46448</v>
      </c>
      <c r="N136" s="24">
        <v>46280</v>
      </c>
      <c r="O136" s="14" t="s">
        <v>1663</v>
      </c>
      <c r="P136" s="14" t="s">
        <v>1664</v>
      </c>
      <c r="Q136" s="42" t="str">
        <f t="shared" si="1"/>
        <v>https://ec.europa.eu/info/funding-tenders/opportunities/portal/screen/opportunities/topic-details/HORIZON-CL3-2027-02-CS-ECCC-02</v>
      </c>
    </row>
    <row r="137" spans="1:17" ht="66" customHeight="1" thickBot="1" x14ac:dyDescent="0.35">
      <c r="A137" s="37" t="s">
        <v>2773</v>
      </c>
      <c r="B137" s="37" t="s">
        <v>2776</v>
      </c>
      <c r="C137" s="37" t="s">
        <v>2777</v>
      </c>
      <c r="D137" s="4" t="s">
        <v>1489</v>
      </c>
      <c r="E137" s="21" t="s">
        <v>1665</v>
      </c>
      <c r="F137" s="4" t="s">
        <v>1686</v>
      </c>
      <c r="G137" s="4" t="s">
        <v>1687</v>
      </c>
      <c r="H137" s="14"/>
      <c r="I137" s="14" t="s">
        <v>933</v>
      </c>
      <c r="J137" s="14" t="s">
        <v>1688</v>
      </c>
      <c r="K137" s="13" t="s">
        <v>11</v>
      </c>
      <c r="L137" s="13" t="s">
        <v>12</v>
      </c>
      <c r="M137" s="23">
        <v>46448</v>
      </c>
      <c r="N137" s="24">
        <v>46280</v>
      </c>
      <c r="O137" s="14" t="s">
        <v>1666</v>
      </c>
      <c r="P137" s="14" t="s">
        <v>1667</v>
      </c>
      <c r="Q137" s="42" t="str">
        <f t="shared" ref="Q137:Q200" si="2">"https://ec.europa.eu/info/funding-tenders/opportunities/portal/screen/opportunities/topic-details/" &amp; E137</f>
        <v>https://ec.europa.eu/info/funding-tenders/opportunities/portal/screen/opportunities/topic-details/HORIZON-CL3-2027-02-CS-ECCC-03</v>
      </c>
    </row>
    <row r="138" spans="1:17" ht="66" customHeight="1" thickBot="1" x14ac:dyDescent="0.35">
      <c r="A138" s="37" t="s">
        <v>2773</v>
      </c>
      <c r="B138" s="37" t="s">
        <v>2776</v>
      </c>
      <c r="C138" s="37" t="s">
        <v>2777</v>
      </c>
      <c r="D138" s="4" t="s">
        <v>1489</v>
      </c>
      <c r="E138" s="21" t="s">
        <v>1668</v>
      </c>
      <c r="F138" s="4" t="s">
        <v>1689</v>
      </c>
      <c r="G138" s="4" t="s">
        <v>1690</v>
      </c>
      <c r="H138" s="14"/>
      <c r="I138" s="14" t="s">
        <v>933</v>
      </c>
      <c r="J138" s="14" t="s">
        <v>1691</v>
      </c>
      <c r="K138" s="13" t="s">
        <v>11</v>
      </c>
      <c r="L138" s="13" t="s">
        <v>12</v>
      </c>
      <c r="M138" s="23">
        <v>46448</v>
      </c>
      <c r="N138" s="24">
        <v>46280</v>
      </c>
      <c r="O138" s="14" t="s">
        <v>1669</v>
      </c>
      <c r="P138" s="14" t="s">
        <v>1670</v>
      </c>
      <c r="Q138" s="42" t="str">
        <f t="shared" si="2"/>
        <v>https://ec.europa.eu/info/funding-tenders/opportunities/portal/screen/opportunities/topic-details/HORIZON-CL3-2027-02-CS-ECCC-04</v>
      </c>
    </row>
    <row r="139" spans="1:17" ht="66" customHeight="1" thickBot="1" x14ac:dyDescent="0.35">
      <c r="A139" s="37" t="s">
        <v>2773</v>
      </c>
      <c r="B139" s="37" t="s">
        <v>2776</v>
      </c>
      <c r="C139" s="37" t="s">
        <v>2777</v>
      </c>
      <c r="D139" s="4" t="s">
        <v>1490</v>
      </c>
      <c r="E139" s="21" t="s">
        <v>862</v>
      </c>
      <c r="F139" s="4" t="s">
        <v>863</v>
      </c>
      <c r="G139" s="4" t="s">
        <v>864</v>
      </c>
      <c r="H139" s="14"/>
      <c r="I139" s="14" t="s">
        <v>865</v>
      </c>
      <c r="J139" s="14" t="s">
        <v>965</v>
      </c>
      <c r="K139" s="13" t="s">
        <v>50</v>
      </c>
      <c r="L139" s="13" t="s">
        <v>35</v>
      </c>
      <c r="M139" s="23">
        <v>46007</v>
      </c>
      <c r="N139" s="24" t="s">
        <v>866</v>
      </c>
      <c r="O139" s="14" t="s">
        <v>1800</v>
      </c>
      <c r="P139" s="14" t="s">
        <v>1801</v>
      </c>
      <c r="Q139" s="42" t="str">
        <f t="shared" si="2"/>
        <v>https://ec.europa.eu/info/funding-tenders/opportunities/portal/screen/opportunities/topic-details/HORIZON-CL4-2026-02-MAT-PROD-21-two-stage</v>
      </c>
    </row>
    <row r="140" spans="1:17" ht="66" customHeight="1" thickBot="1" x14ac:dyDescent="0.35">
      <c r="A140" s="37" t="s">
        <v>2773</v>
      </c>
      <c r="B140" s="37" t="s">
        <v>2776</v>
      </c>
      <c r="C140" s="37" t="s">
        <v>2777</v>
      </c>
      <c r="D140" s="4" t="s">
        <v>1490</v>
      </c>
      <c r="E140" s="21" t="s">
        <v>867</v>
      </c>
      <c r="F140" s="4" t="s">
        <v>868</v>
      </c>
      <c r="G140" s="4" t="s">
        <v>869</v>
      </c>
      <c r="H140" s="14"/>
      <c r="I140" s="14" t="s">
        <v>870</v>
      </c>
      <c r="J140" s="14" t="s">
        <v>966</v>
      </c>
      <c r="K140" s="13" t="s">
        <v>50</v>
      </c>
      <c r="L140" s="13" t="s">
        <v>12</v>
      </c>
      <c r="M140" s="23">
        <v>46287</v>
      </c>
      <c r="N140" s="24">
        <v>46420</v>
      </c>
      <c r="O140" s="14" t="s">
        <v>1802</v>
      </c>
      <c r="P140" s="14" t="s">
        <v>1803</v>
      </c>
      <c r="Q140" s="42" t="str">
        <f t="shared" si="2"/>
        <v>https://ec.europa.eu/info/funding-tenders/opportunities/portal/screen/opportunities/topic-details/HORIZON-CL4-2027-01-MAT-PROD-22</v>
      </c>
    </row>
    <row r="141" spans="1:17" ht="66" customHeight="1" thickBot="1" x14ac:dyDescent="0.35">
      <c r="A141" s="37" t="s">
        <v>2773</v>
      </c>
      <c r="B141" s="37" t="s">
        <v>2776</v>
      </c>
      <c r="C141" s="37" t="s">
        <v>2777</v>
      </c>
      <c r="D141" s="4" t="s">
        <v>1490</v>
      </c>
      <c r="E141" s="21" t="s">
        <v>871</v>
      </c>
      <c r="F141" s="4" t="s">
        <v>872</v>
      </c>
      <c r="G141" s="4" t="s">
        <v>873</v>
      </c>
      <c r="H141" s="14"/>
      <c r="I141" s="14" t="s">
        <v>874</v>
      </c>
      <c r="J141" s="14" t="s">
        <v>967</v>
      </c>
      <c r="K141" s="13" t="s">
        <v>50</v>
      </c>
      <c r="L141" s="13" t="s">
        <v>12</v>
      </c>
      <c r="M141" s="23">
        <v>46028</v>
      </c>
      <c r="N141" s="24">
        <v>46133</v>
      </c>
      <c r="O141" s="14" t="s">
        <v>1804</v>
      </c>
      <c r="P141" s="14" t="s">
        <v>1805</v>
      </c>
      <c r="Q141" s="42" t="str">
        <f t="shared" si="2"/>
        <v>https://ec.europa.eu/info/funding-tenders/opportunities/portal/screen/opportunities/topic-details/HORIZON-CL4-2026-01-MAT-PROD-23</v>
      </c>
    </row>
    <row r="142" spans="1:17" ht="66" customHeight="1" thickBot="1" x14ac:dyDescent="0.35">
      <c r="A142" s="37" t="s">
        <v>2773</v>
      </c>
      <c r="B142" s="37" t="s">
        <v>2776</v>
      </c>
      <c r="C142" s="37" t="s">
        <v>2777</v>
      </c>
      <c r="D142" s="4" t="s">
        <v>1490</v>
      </c>
      <c r="E142" s="21" t="s">
        <v>875</v>
      </c>
      <c r="F142" s="4" t="s">
        <v>876</v>
      </c>
      <c r="G142" s="4" t="s">
        <v>877</v>
      </c>
      <c r="H142" s="14"/>
      <c r="I142" s="14" t="s">
        <v>878</v>
      </c>
      <c r="J142" s="14" t="s">
        <v>968</v>
      </c>
      <c r="K142" s="13" t="s">
        <v>16</v>
      </c>
      <c r="L142" s="13" t="s">
        <v>12</v>
      </c>
      <c r="M142" s="23">
        <v>46028</v>
      </c>
      <c r="N142" s="24">
        <v>46133</v>
      </c>
      <c r="O142" s="14" t="s">
        <v>1806</v>
      </c>
      <c r="P142" s="14" t="s">
        <v>1807</v>
      </c>
      <c r="Q142" s="42" t="str">
        <f t="shared" si="2"/>
        <v>https://ec.europa.eu/info/funding-tenders/opportunities/portal/screen/opportunities/topic-details/HORIZON-CL4-2026-01-MAT-PROD-24</v>
      </c>
    </row>
    <row r="143" spans="1:17" ht="66" customHeight="1" thickBot="1" x14ac:dyDescent="0.35">
      <c r="A143" s="37" t="s">
        <v>2773</v>
      </c>
      <c r="B143" s="37" t="s">
        <v>2776</v>
      </c>
      <c r="C143" s="37" t="s">
        <v>2777</v>
      </c>
      <c r="D143" s="4" t="s">
        <v>1490</v>
      </c>
      <c r="E143" s="21" t="s">
        <v>879</v>
      </c>
      <c r="F143" s="4" t="s">
        <v>880</v>
      </c>
      <c r="G143" s="4" t="s">
        <v>881</v>
      </c>
      <c r="H143" s="14"/>
      <c r="I143" s="14" t="s">
        <v>357</v>
      </c>
      <c r="J143" s="14" t="s">
        <v>969</v>
      </c>
      <c r="K143" s="13" t="s">
        <v>50</v>
      </c>
      <c r="L143" s="13" t="s">
        <v>12</v>
      </c>
      <c r="M143" s="23">
        <v>46028</v>
      </c>
      <c r="N143" s="24">
        <v>46133</v>
      </c>
      <c r="O143" s="14" t="s">
        <v>1808</v>
      </c>
      <c r="P143" s="14" t="s">
        <v>1809</v>
      </c>
      <c r="Q143" s="42" t="str">
        <f t="shared" si="2"/>
        <v>https://ec.europa.eu/info/funding-tenders/opportunities/portal/screen/opportunities/topic-details/HORIZON-CL4-2026-01-MAT-PROD-01</v>
      </c>
    </row>
    <row r="144" spans="1:17" ht="66" customHeight="1" thickBot="1" x14ac:dyDescent="0.35">
      <c r="A144" s="37" t="s">
        <v>2773</v>
      </c>
      <c r="B144" s="37" t="s">
        <v>2776</v>
      </c>
      <c r="C144" s="37" t="s">
        <v>2777</v>
      </c>
      <c r="D144" s="4" t="s">
        <v>1490</v>
      </c>
      <c r="E144" s="21" t="s">
        <v>882</v>
      </c>
      <c r="F144" s="4" t="s">
        <v>880</v>
      </c>
      <c r="G144" s="4" t="s">
        <v>883</v>
      </c>
      <c r="H144" s="14"/>
      <c r="I144" s="14" t="s">
        <v>357</v>
      </c>
      <c r="J144" s="14" t="s">
        <v>970</v>
      </c>
      <c r="K144" s="13" t="s">
        <v>50</v>
      </c>
      <c r="L144" s="13" t="s">
        <v>12</v>
      </c>
      <c r="M144" s="23">
        <v>46287</v>
      </c>
      <c r="N144" s="24">
        <v>46420</v>
      </c>
      <c r="O144" s="14" t="s">
        <v>1810</v>
      </c>
      <c r="P144" s="14" t="s">
        <v>1811</v>
      </c>
      <c r="Q144" s="42" t="str">
        <f t="shared" si="2"/>
        <v>https://ec.europa.eu/info/funding-tenders/opportunities/portal/screen/opportunities/topic-details/HORIZON-CL4-2027-01-MAT-PROD-02</v>
      </c>
    </row>
    <row r="145" spans="1:17" ht="66" customHeight="1" thickBot="1" x14ac:dyDescent="0.35">
      <c r="A145" s="37" t="s">
        <v>2773</v>
      </c>
      <c r="B145" s="37" t="s">
        <v>2776</v>
      </c>
      <c r="C145" s="37" t="s">
        <v>2777</v>
      </c>
      <c r="D145" s="4" t="s">
        <v>1490</v>
      </c>
      <c r="E145" s="21" t="s">
        <v>884</v>
      </c>
      <c r="F145" s="4" t="s">
        <v>885</v>
      </c>
      <c r="G145" s="4" t="s">
        <v>886</v>
      </c>
      <c r="H145" s="14"/>
      <c r="I145" s="14" t="s">
        <v>810</v>
      </c>
      <c r="J145" s="14" t="s">
        <v>971</v>
      </c>
      <c r="K145" s="13" t="s">
        <v>11</v>
      </c>
      <c r="L145" s="13" t="s">
        <v>12</v>
      </c>
      <c r="M145" s="23">
        <v>46287</v>
      </c>
      <c r="N145" s="24">
        <v>46420</v>
      </c>
      <c r="O145" s="14" t="s">
        <v>1812</v>
      </c>
      <c r="P145" s="14" t="s">
        <v>1813</v>
      </c>
      <c r="Q145" s="42" t="str">
        <f t="shared" si="2"/>
        <v>https://ec.europa.eu/info/funding-tenders/opportunities/portal/screen/opportunities/topic-details/HORIZON-CL4-2027-01-MAT-PROD-03</v>
      </c>
    </row>
    <row r="146" spans="1:17" ht="66" customHeight="1" thickBot="1" x14ac:dyDescent="0.35">
      <c r="A146" s="37" t="s">
        <v>2773</v>
      </c>
      <c r="B146" s="37" t="s">
        <v>2776</v>
      </c>
      <c r="C146" s="37" t="s">
        <v>2777</v>
      </c>
      <c r="D146" s="4" t="s">
        <v>1490</v>
      </c>
      <c r="E146" s="21" t="s">
        <v>887</v>
      </c>
      <c r="F146" s="4" t="s">
        <v>888</v>
      </c>
      <c r="G146" s="4" t="s">
        <v>889</v>
      </c>
      <c r="H146" s="14"/>
      <c r="I146" s="14" t="s">
        <v>890</v>
      </c>
      <c r="J146" s="14" t="s">
        <v>972</v>
      </c>
      <c r="K146" s="13" t="s">
        <v>11</v>
      </c>
      <c r="L146" s="13" t="s">
        <v>12</v>
      </c>
      <c r="M146" s="23">
        <v>46028</v>
      </c>
      <c r="N146" s="24">
        <v>46133</v>
      </c>
      <c r="O146" s="14" t="s">
        <v>1814</v>
      </c>
      <c r="P146" s="14" t="s">
        <v>1815</v>
      </c>
      <c r="Q146" s="42" t="str">
        <f t="shared" si="2"/>
        <v>https://ec.europa.eu/info/funding-tenders/opportunities/portal/screen/opportunities/topic-details/HORIZON-CL4-2026-01-MAT-PROD-04</v>
      </c>
    </row>
    <row r="147" spans="1:17" ht="66" customHeight="1" thickBot="1" x14ac:dyDescent="0.35">
      <c r="A147" s="37" t="s">
        <v>2773</v>
      </c>
      <c r="B147" s="37" t="s">
        <v>2776</v>
      </c>
      <c r="C147" s="37" t="s">
        <v>2777</v>
      </c>
      <c r="D147" s="4" t="s">
        <v>1490</v>
      </c>
      <c r="E147" s="21" t="s">
        <v>891</v>
      </c>
      <c r="F147" s="4" t="s">
        <v>892</v>
      </c>
      <c r="G147" s="4" t="s">
        <v>893</v>
      </c>
      <c r="H147" s="14"/>
      <c r="I147" s="14" t="s">
        <v>894</v>
      </c>
      <c r="J147" s="14" t="s">
        <v>973</v>
      </c>
      <c r="K147" s="13" t="s">
        <v>11</v>
      </c>
      <c r="L147" s="13" t="s">
        <v>12</v>
      </c>
      <c r="M147" s="23">
        <v>46028</v>
      </c>
      <c r="N147" s="24">
        <v>46133</v>
      </c>
      <c r="O147" s="14" t="s">
        <v>1816</v>
      </c>
      <c r="P147" s="14" t="s">
        <v>1817</v>
      </c>
      <c r="Q147" s="42" t="str">
        <f t="shared" si="2"/>
        <v>https://ec.europa.eu/info/funding-tenders/opportunities/portal/screen/opportunities/topic-details/HORIZON-CL4-2026-01-MAT-PROD-05</v>
      </c>
    </row>
    <row r="148" spans="1:17" ht="66" customHeight="1" thickBot="1" x14ac:dyDescent="0.35">
      <c r="A148" s="37" t="s">
        <v>2773</v>
      </c>
      <c r="B148" s="37" t="s">
        <v>2776</v>
      </c>
      <c r="C148" s="37" t="s">
        <v>2777</v>
      </c>
      <c r="D148" s="4" t="s">
        <v>1490</v>
      </c>
      <c r="E148" s="21" t="s">
        <v>895</v>
      </c>
      <c r="F148" s="4" t="s">
        <v>892</v>
      </c>
      <c r="G148" s="4" t="s">
        <v>896</v>
      </c>
      <c r="H148" s="14"/>
      <c r="I148" s="14" t="s">
        <v>870</v>
      </c>
      <c r="J148" s="14" t="s">
        <v>974</v>
      </c>
      <c r="K148" s="13" t="s">
        <v>11</v>
      </c>
      <c r="L148" s="13" t="s">
        <v>12</v>
      </c>
      <c r="M148" s="23">
        <v>46287</v>
      </c>
      <c r="N148" s="24">
        <v>46420</v>
      </c>
      <c r="O148" s="14" t="s">
        <v>1818</v>
      </c>
      <c r="P148" s="14" t="s">
        <v>1819</v>
      </c>
      <c r="Q148" s="42" t="str">
        <f t="shared" si="2"/>
        <v>https://ec.europa.eu/info/funding-tenders/opportunities/portal/screen/opportunities/topic-details/HORIZON-CL4-2027-01-MAT-PROD-06</v>
      </c>
    </row>
    <row r="149" spans="1:17" ht="66" customHeight="1" thickBot="1" x14ac:dyDescent="0.35">
      <c r="A149" s="37" t="s">
        <v>2773</v>
      </c>
      <c r="B149" s="37" t="s">
        <v>2776</v>
      </c>
      <c r="C149" s="37" t="s">
        <v>2777</v>
      </c>
      <c r="D149" s="4" t="s">
        <v>1490</v>
      </c>
      <c r="E149" s="21" t="s">
        <v>897</v>
      </c>
      <c r="F149" s="4" t="s">
        <v>898</v>
      </c>
      <c r="G149" s="4" t="s">
        <v>899</v>
      </c>
      <c r="H149" s="14"/>
      <c r="I149" s="14" t="s">
        <v>350</v>
      </c>
      <c r="J149" s="14" t="s">
        <v>975</v>
      </c>
      <c r="K149" s="13" t="s">
        <v>50</v>
      </c>
      <c r="L149" s="13" t="s">
        <v>12</v>
      </c>
      <c r="M149" s="23">
        <v>46287</v>
      </c>
      <c r="N149" s="24">
        <v>46420</v>
      </c>
      <c r="O149" s="14" t="s">
        <v>1820</v>
      </c>
      <c r="P149" s="14" t="s">
        <v>1821</v>
      </c>
      <c r="Q149" s="42" t="str">
        <f t="shared" si="2"/>
        <v>https://ec.europa.eu/info/funding-tenders/opportunities/portal/screen/opportunities/topic-details/HORIZON-CL4-2027-01-MAT-PROD-08</v>
      </c>
    </row>
    <row r="150" spans="1:17" ht="66" customHeight="1" thickBot="1" x14ac:dyDescent="0.35">
      <c r="A150" s="37" t="s">
        <v>2773</v>
      </c>
      <c r="B150" s="37" t="s">
        <v>2776</v>
      </c>
      <c r="C150" s="37" t="s">
        <v>2777</v>
      </c>
      <c r="D150" s="4" t="s">
        <v>1490</v>
      </c>
      <c r="E150" s="21" t="s">
        <v>900</v>
      </c>
      <c r="F150" s="4" t="s">
        <v>901</v>
      </c>
      <c r="G150" s="4" t="s">
        <v>902</v>
      </c>
      <c r="H150" s="14"/>
      <c r="I150" s="14" t="s">
        <v>903</v>
      </c>
      <c r="J150" s="14" t="s">
        <v>976</v>
      </c>
      <c r="K150" s="13" t="s">
        <v>11</v>
      </c>
      <c r="L150" s="13" t="s">
        <v>12</v>
      </c>
      <c r="M150" s="23">
        <v>46028</v>
      </c>
      <c r="N150" s="24">
        <v>46133</v>
      </c>
      <c r="O150" s="14" t="s">
        <v>1822</v>
      </c>
      <c r="P150" s="14" t="s">
        <v>1823</v>
      </c>
      <c r="Q150" s="42" t="str">
        <f t="shared" si="2"/>
        <v>https://ec.europa.eu/info/funding-tenders/opportunities/portal/screen/opportunities/topic-details/HORIZON-CL4-2026-01-MAT-PROD-31</v>
      </c>
    </row>
    <row r="151" spans="1:17" ht="66" customHeight="1" thickBot="1" x14ac:dyDescent="0.35">
      <c r="A151" s="37" t="s">
        <v>2773</v>
      </c>
      <c r="B151" s="37" t="s">
        <v>2776</v>
      </c>
      <c r="C151" s="37" t="s">
        <v>2777</v>
      </c>
      <c r="D151" s="4" t="s">
        <v>1490</v>
      </c>
      <c r="E151" s="21" t="s">
        <v>904</v>
      </c>
      <c r="F151" s="4" t="s">
        <v>905</v>
      </c>
      <c r="G151" s="4" t="s">
        <v>906</v>
      </c>
      <c r="H151" s="14"/>
      <c r="I151" s="14" t="s">
        <v>907</v>
      </c>
      <c r="J151" s="14" t="s">
        <v>977</v>
      </c>
      <c r="K151" s="13" t="s">
        <v>11</v>
      </c>
      <c r="L151" s="13" t="s">
        <v>35</v>
      </c>
      <c r="M151" s="23">
        <v>46287</v>
      </c>
      <c r="N151" s="24" t="s">
        <v>908</v>
      </c>
      <c r="O151" s="14" t="s">
        <v>1824</v>
      </c>
      <c r="P151" s="14" t="s">
        <v>1825</v>
      </c>
      <c r="Q151" s="42" t="str">
        <f t="shared" si="2"/>
        <v>https://ec.europa.eu/info/funding-tenders/opportunities/portal/screen/opportunities/topic-details/HORIZON-CL4-2027-02-MAT-PROD-32-two-stage</v>
      </c>
    </row>
    <row r="152" spans="1:17" ht="66" customHeight="1" thickBot="1" x14ac:dyDescent="0.35">
      <c r="A152" s="37" t="s">
        <v>2773</v>
      </c>
      <c r="B152" s="37" t="s">
        <v>2776</v>
      </c>
      <c r="C152" s="37" t="s">
        <v>2777</v>
      </c>
      <c r="D152" s="4" t="s">
        <v>1490</v>
      </c>
      <c r="E152" s="21" t="s">
        <v>909</v>
      </c>
      <c r="F152" s="4" t="s">
        <v>910</v>
      </c>
      <c r="G152" s="4" t="s">
        <v>911</v>
      </c>
      <c r="H152" s="14" t="s">
        <v>2412</v>
      </c>
      <c r="I152" s="14" t="s">
        <v>407</v>
      </c>
      <c r="J152" s="14" t="s">
        <v>978</v>
      </c>
      <c r="K152" s="13" t="s">
        <v>16</v>
      </c>
      <c r="L152" s="13" t="s">
        <v>12</v>
      </c>
      <c r="M152" s="23">
        <v>46028</v>
      </c>
      <c r="N152" s="24">
        <v>46133</v>
      </c>
      <c r="O152" s="14" t="s">
        <v>1826</v>
      </c>
      <c r="P152" s="14" t="s">
        <v>1827</v>
      </c>
      <c r="Q152" s="42" t="str">
        <f t="shared" si="2"/>
        <v>https://ec.europa.eu/info/funding-tenders/opportunities/portal/screen/opportunities/topic-details/HORIZON-CL4-2026-01-MAT-PROD-41</v>
      </c>
    </row>
    <row r="153" spans="1:17" ht="66" customHeight="1" thickBot="1" x14ac:dyDescent="0.35">
      <c r="A153" s="37" t="s">
        <v>2773</v>
      </c>
      <c r="B153" s="37" t="s">
        <v>2776</v>
      </c>
      <c r="C153" s="37" t="s">
        <v>2777</v>
      </c>
      <c r="D153" s="4" t="s">
        <v>1490</v>
      </c>
      <c r="E153" s="21" t="s">
        <v>912</v>
      </c>
      <c r="F153" s="4" t="s">
        <v>913</v>
      </c>
      <c r="G153" s="4" t="s">
        <v>914</v>
      </c>
      <c r="H153" s="14" t="s">
        <v>2412</v>
      </c>
      <c r="I153" s="14" t="s">
        <v>878</v>
      </c>
      <c r="J153" s="14" t="s">
        <v>979</v>
      </c>
      <c r="K153" s="13" t="s">
        <v>16</v>
      </c>
      <c r="L153" s="13" t="s">
        <v>12</v>
      </c>
      <c r="M153" s="23">
        <v>46287</v>
      </c>
      <c r="N153" s="24">
        <v>46420</v>
      </c>
      <c r="O153" s="14" t="s">
        <v>1828</v>
      </c>
      <c r="P153" s="14" t="s">
        <v>1829</v>
      </c>
      <c r="Q153" s="42" t="str">
        <f t="shared" si="2"/>
        <v>https://ec.europa.eu/info/funding-tenders/opportunities/portal/screen/opportunities/topic-details/HORIZON-CL4-2027-01-MAT-PROD-42</v>
      </c>
    </row>
    <row r="154" spans="1:17" ht="66" customHeight="1" thickBot="1" x14ac:dyDescent="0.35">
      <c r="A154" s="37" t="s">
        <v>2773</v>
      </c>
      <c r="B154" s="37" t="s">
        <v>2776</v>
      </c>
      <c r="C154" s="37" t="s">
        <v>2777</v>
      </c>
      <c r="D154" s="4" t="s">
        <v>1490</v>
      </c>
      <c r="E154" s="21" t="s">
        <v>915</v>
      </c>
      <c r="F154" s="4" t="s">
        <v>916</v>
      </c>
      <c r="G154" s="4" t="s">
        <v>917</v>
      </c>
      <c r="H154" s="14"/>
      <c r="I154" s="14" t="s">
        <v>918</v>
      </c>
      <c r="J154" s="14" t="s">
        <v>980</v>
      </c>
      <c r="K154" s="13" t="s">
        <v>11</v>
      </c>
      <c r="L154" s="13" t="s">
        <v>12</v>
      </c>
      <c r="M154" s="23">
        <v>46287</v>
      </c>
      <c r="N154" s="24">
        <v>46420</v>
      </c>
      <c r="O154" s="14" t="s">
        <v>1830</v>
      </c>
      <c r="P154" s="14" t="s">
        <v>1831</v>
      </c>
      <c r="Q154" s="42" t="str">
        <f t="shared" si="2"/>
        <v>https://ec.europa.eu/info/funding-tenders/opportunities/portal/screen/opportunities/topic-details/HORIZON-CL4-2027-01-MAT-PROD-61</v>
      </c>
    </row>
    <row r="155" spans="1:17" ht="66" customHeight="1" thickBot="1" x14ac:dyDescent="0.35">
      <c r="A155" s="37" t="s">
        <v>2773</v>
      </c>
      <c r="B155" s="37" t="s">
        <v>2776</v>
      </c>
      <c r="C155" s="37" t="s">
        <v>2777</v>
      </c>
      <c r="D155" s="4" t="s">
        <v>1490</v>
      </c>
      <c r="E155" s="21" t="s">
        <v>919</v>
      </c>
      <c r="F155" s="4" t="s">
        <v>920</v>
      </c>
      <c r="G155" s="4" t="s">
        <v>921</v>
      </c>
      <c r="H155" s="14"/>
      <c r="I155" s="14" t="s">
        <v>903</v>
      </c>
      <c r="J155" s="14" t="s">
        <v>922</v>
      </c>
      <c r="K155" s="13" t="s">
        <v>11</v>
      </c>
      <c r="L155" s="13" t="s">
        <v>12</v>
      </c>
      <c r="M155" s="23">
        <v>46287</v>
      </c>
      <c r="N155" s="24">
        <v>46420</v>
      </c>
      <c r="O155" s="14" t="s">
        <v>1832</v>
      </c>
      <c r="P155" s="14" t="s">
        <v>1833</v>
      </c>
      <c r="Q155" s="42" t="str">
        <f t="shared" si="2"/>
        <v>https://ec.europa.eu/info/funding-tenders/opportunities/portal/screen/opportunities/topic-details/HORIZON-CL4-2027-01-MAT-PROD-62</v>
      </c>
    </row>
    <row r="156" spans="1:17" ht="66" customHeight="1" thickBot="1" x14ac:dyDescent="0.35">
      <c r="A156" s="37" t="s">
        <v>2773</v>
      </c>
      <c r="B156" s="37" t="s">
        <v>2776</v>
      </c>
      <c r="C156" s="37" t="s">
        <v>2777</v>
      </c>
      <c r="D156" s="4" t="s">
        <v>1490</v>
      </c>
      <c r="E156" s="21" t="s">
        <v>923</v>
      </c>
      <c r="F156" s="4" t="s">
        <v>924</v>
      </c>
      <c r="G156" s="4" t="s">
        <v>925</v>
      </c>
      <c r="H156" s="14" t="s">
        <v>2431</v>
      </c>
      <c r="I156" s="14" t="s">
        <v>926</v>
      </c>
      <c r="J156" s="14" t="s">
        <v>981</v>
      </c>
      <c r="K156" s="13" t="s">
        <v>16</v>
      </c>
      <c r="L156" s="13" t="s">
        <v>12</v>
      </c>
      <c r="M156" s="23">
        <v>46028</v>
      </c>
      <c r="N156" s="24">
        <v>46133</v>
      </c>
      <c r="O156" s="14" t="s">
        <v>1834</v>
      </c>
      <c r="P156" s="14" t="s">
        <v>1835</v>
      </c>
      <c r="Q156" s="42" t="str">
        <f t="shared" si="2"/>
        <v>https://ec.europa.eu/info/funding-tenders/opportunities/portal/screen/opportunities/topic-details/HORIZON-CL4-2026-01-MAT-PROD-44</v>
      </c>
    </row>
    <row r="157" spans="1:17" ht="66" customHeight="1" thickBot="1" x14ac:dyDescent="0.35">
      <c r="A157" s="37" t="s">
        <v>2773</v>
      </c>
      <c r="B157" s="37" t="s">
        <v>2776</v>
      </c>
      <c r="C157" s="37" t="s">
        <v>2777</v>
      </c>
      <c r="D157" s="4" t="s">
        <v>1490</v>
      </c>
      <c r="E157" s="21" t="s">
        <v>927</v>
      </c>
      <c r="F157" s="4" t="s">
        <v>928</v>
      </c>
      <c r="G157" s="4" t="s">
        <v>929</v>
      </c>
      <c r="H157" s="14"/>
      <c r="I157" s="14" t="s">
        <v>926</v>
      </c>
      <c r="J157" s="14" t="s">
        <v>982</v>
      </c>
      <c r="K157" s="13" t="s">
        <v>16</v>
      </c>
      <c r="L157" s="13" t="s">
        <v>12</v>
      </c>
      <c r="M157" s="23">
        <v>46028</v>
      </c>
      <c r="N157" s="24">
        <v>46133</v>
      </c>
      <c r="O157" s="14" t="s">
        <v>1836</v>
      </c>
      <c r="P157" s="14" t="s">
        <v>1837</v>
      </c>
      <c r="Q157" s="42" t="str">
        <f t="shared" si="2"/>
        <v>https://ec.europa.eu/info/funding-tenders/opportunities/portal/screen/opportunities/topic-details/HORIZON-CL4-2026-01-MAT-PROD-45</v>
      </c>
    </row>
    <row r="158" spans="1:17" ht="66" customHeight="1" thickBot="1" x14ac:dyDescent="0.35">
      <c r="A158" s="37" t="s">
        <v>2773</v>
      </c>
      <c r="B158" s="37" t="s">
        <v>2776</v>
      </c>
      <c r="C158" s="37" t="s">
        <v>2777</v>
      </c>
      <c r="D158" s="4" t="s">
        <v>1490</v>
      </c>
      <c r="E158" s="21" t="s">
        <v>930</v>
      </c>
      <c r="F158" s="4" t="s">
        <v>931</v>
      </c>
      <c r="G158" s="4" t="s">
        <v>932</v>
      </c>
      <c r="H158" s="14"/>
      <c r="I158" s="14" t="s">
        <v>933</v>
      </c>
      <c r="J158" s="14" t="s">
        <v>983</v>
      </c>
      <c r="K158" s="13" t="s">
        <v>16</v>
      </c>
      <c r="L158" s="13" t="s">
        <v>12</v>
      </c>
      <c r="M158" s="23">
        <v>46028</v>
      </c>
      <c r="N158" s="24">
        <v>46133</v>
      </c>
      <c r="O158" s="14" t="s">
        <v>1838</v>
      </c>
      <c r="P158" s="14" t="s">
        <v>1839</v>
      </c>
      <c r="Q158" s="42" t="str">
        <f t="shared" si="2"/>
        <v>https://ec.europa.eu/info/funding-tenders/opportunities/portal/screen/opportunities/topic-details/HORIZON-CL4-2026-01-MAT-PROD-46</v>
      </c>
    </row>
    <row r="159" spans="1:17" ht="66" customHeight="1" thickBot="1" x14ac:dyDescent="0.35">
      <c r="A159" s="37" t="s">
        <v>2773</v>
      </c>
      <c r="B159" s="37" t="s">
        <v>2776</v>
      </c>
      <c r="C159" s="37" t="s">
        <v>2777</v>
      </c>
      <c r="D159" s="4" t="s">
        <v>1490</v>
      </c>
      <c r="E159" s="21" t="s">
        <v>934</v>
      </c>
      <c r="F159" s="4" t="s">
        <v>928</v>
      </c>
      <c r="G159" s="4" t="s">
        <v>935</v>
      </c>
      <c r="H159" s="14"/>
      <c r="I159" s="14" t="s">
        <v>926</v>
      </c>
      <c r="J159" s="14" t="s">
        <v>984</v>
      </c>
      <c r="K159" s="13" t="s">
        <v>16</v>
      </c>
      <c r="L159" s="13" t="s">
        <v>12</v>
      </c>
      <c r="M159" s="23">
        <v>46287</v>
      </c>
      <c r="N159" s="24">
        <v>46420</v>
      </c>
      <c r="O159" s="14" t="s">
        <v>1840</v>
      </c>
      <c r="P159" s="14" t="s">
        <v>1841</v>
      </c>
      <c r="Q159" s="42" t="str">
        <f t="shared" si="2"/>
        <v>https://ec.europa.eu/info/funding-tenders/opportunities/portal/screen/opportunities/topic-details/HORIZON-CL4-2027-01-MAT-PROD-47</v>
      </c>
    </row>
    <row r="160" spans="1:17" ht="66" customHeight="1" thickBot="1" x14ac:dyDescent="0.35">
      <c r="A160" s="37" t="s">
        <v>2773</v>
      </c>
      <c r="B160" s="37" t="s">
        <v>2776</v>
      </c>
      <c r="C160" s="37" t="s">
        <v>2777</v>
      </c>
      <c r="D160" s="4" t="s">
        <v>1490</v>
      </c>
      <c r="E160" s="21" t="s">
        <v>936</v>
      </c>
      <c r="F160" s="4" t="s">
        <v>937</v>
      </c>
      <c r="G160" s="4" t="s">
        <v>938</v>
      </c>
      <c r="H160" s="14"/>
      <c r="I160" s="14" t="s">
        <v>926</v>
      </c>
      <c r="J160" s="14" t="s">
        <v>985</v>
      </c>
      <c r="K160" s="13" t="s">
        <v>50</v>
      </c>
      <c r="L160" s="13" t="s">
        <v>12</v>
      </c>
      <c r="M160" s="23">
        <v>46028</v>
      </c>
      <c r="N160" s="24">
        <v>46133</v>
      </c>
      <c r="O160" s="14" t="s">
        <v>1842</v>
      </c>
      <c r="P160" s="14" t="s">
        <v>1843</v>
      </c>
      <c r="Q160" s="42" t="str">
        <f t="shared" si="2"/>
        <v>https://ec.europa.eu/info/funding-tenders/opportunities/portal/screen/opportunities/topic-details/HORIZON-CL4-2026-01-MAT-PROD-48</v>
      </c>
    </row>
    <row r="161" spans="1:17" ht="66" customHeight="1" thickBot="1" x14ac:dyDescent="0.35">
      <c r="A161" s="37" t="s">
        <v>2773</v>
      </c>
      <c r="B161" s="37" t="s">
        <v>2776</v>
      </c>
      <c r="C161" s="37" t="s">
        <v>2777</v>
      </c>
      <c r="D161" s="4" t="s">
        <v>1490</v>
      </c>
      <c r="E161" s="21" t="s">
        <v>939</v>
      </c>
      <c r="F161" s="4" t="s">
        <v>937</v>
      </c>
      <c r="G161" s="4" t="s">
        <v>940</v>
      </c>
      <c r="H161" s="14"/>
      <c r="I161" s="14" t="s">
        <v>926</v>
      </c>
      <c r="J161" s="14" t="s">
        <v>986</v>
      </c>
      <c r="K161" s="13" t="s">
        <v>50</v>
      </c>
      <c r="L161" s="13" t="s">
        <v>12</v>
      </c>
      <c r="M161" s="23">
        <v>46287</v>
      </c>
      <c r="N161" s="24">
        <v>46420</v>
      </c>
      <c r="O161" s="14" t="s">
        <v>1844</v>
      </c>
      <c r="P161" s="14" t="s">
        <v>1845</v>
      </c>
      <c r="Q161" s="42" t="str">
        <f t="shared" si="2"/>
        <v>https://ec.europa.eu/info/funding-tenders/opportunities/portal/screen/opportunities/topic-details/HORIZON-CL4-2027-01-MAT-PROD-49</v>
      </c>
    </row>
    <row r="162" spans="1:17" ht="66" customHeight="1" thickBot="1" x14ac:dyDescent="0.35">
      <c r="A162" s="37" t="s">
        <v>2773</v>
      </c>
      <c r="B162" s="37" t="s">
        <v>2776</v>
      </c>
      <c r="C162" s="37" t="s">
        <v>2777</v>
      </c>
      <c r="D162" s="4" t="s">
        <v>1490</v>
      </c>
      <c r="E162" s="21" t="s">
        <v>941</v>
      </c>
      <c r="F162" s="4" t="s">
        <v>942</v>
      </c>
      <c r="G162" s="4" t="s">
        <v>943</v>
      </c>
      <c r="H162" s="14"/>
      <c r="I162" s="14" t="s">
        <v>189</v>
      </c>
      <c r="J162" s="14" t="s">
        <v>987</v>
      </c>
      <c r="K162" s="13" t="s">
        <v>11</v>
      </c>
      <c r="L162" s="13" t="s">
        <v>12</v>
      </c>
      <c r="M162" s="23">
        <v>46028</v>
      </c>
      <c r="N162" s="24">
        <v>46133</v>
      </c>
      <c r="O162" s="14" t="s">
        <v>1846</v>
      </c>
      <c r="P162" s="14" t="s">
        <v>1847</v>
      </c>
      <c r="Q162" s="42" t="str">
        <f t="shared" si="2"/>
        <v>https://ec.europa.eu/info/funding-tenders/opportunities/portal/screen/opportunities/topic-details/HORIZON-CL4-2026-01-MAT-PROD-11</v>
      </c>
    </row>
    <row r="163" spans="1:17" ht="66" customHeight="1" thickBot="1" x14ac:dyDescent="0.35">
      <c r="A163" s="37" t="s">
        <v>2773</v>
      </c>
      <c r="B163" s="37" t="s">
        <v>2776</v>
      </c>
      <c r="C163" s="37" t="s">
        <v>2777</v>
      </c>
      <c r="D163" s="4" t="s">
        <v>1490</v>
      </c>
      <c r="E163" s="21" t="s">
        <v>944</v>
      </c>
      <c r="F163" s="4" t="s">
        <v>945</v>
      </c>
      <c r="G163" s="4" t="s">
        <v>946</v>
      </c>
      <c r="H163" s="14"/>
      <c r="I163" s="14" t="s">
        <v>947</v>
      </c>
      <c r="J163" s="14" t="s">
        <v>988</v>
      </c>
      <c r="K163" s="13" t="s">
        <v>11</v>
      </c>
      <c r="L163" s="13" t="s">
        <v>12</v>
      </c>
      <c r="M163" s="23">
        <v>46028</v>
      </c>
      <c r="N163" s="24">
        <v>46133</v>
      </c>
      <c r="O163" s="14" t="s">
        <v>1848</v>
      </c>
      <c r="P163" s="14" t="s">
        <v>1849</v>
      </c>
      <c r="Q163" s="42" t="str">
        <f t="shared" si="2"/>
        <v>https://ec.europa.eu/info/funding-tenders/opportunities/portal/screen/opportunities/topic-details/HORIZON-CL4-2026-01-MAT-PROD-12</v>
      </c>
    </row>
    <row r="164" spans="1:17" ht="66" customHeight="1" thickBot="1" x14ac:dyDescent="0.35">
      <c r="A164" s="37" t="s">
        <v>2773</v>
      </c>
      <c r="B164" s="37" t="s">
        <v>2776</v>
      </c>
      <c r="C164" s="37" t="s">
        <v>2777</v>
      </c>
      <c r="D164" s="4" t="s">
        <v>1490</v>
      </c>
      <c r="E164" s="21" t="s">
        <v>948</v>
      </c>
      <c r="F164" s="4" t="s">
        <v>949</v>
      </c>
      <c r="G164" s="4" t="s">
        <v>950</v>
      </c>
      <c r="H164" s="14"/>
      <c r="I164" s="14" t="s">
        <v>951</v>
      </c>
      <c r="J164" s="14" t="s">
        <v>989</v>
      </c>
      <c r="K164" s="13" t="s">
        <v>16</v>
      </c>
      <c r="L164" s="13" t="s">
        <v>12</v>
      </c>
      <c r="M164" s="23">
        <v>46028</v>
      </c>
      <c r="N164" s="24">
        <v>46133</v>
      </c>
      <c r="O164" s="14" t="s">
        <v>1850</v>
      </c>
      <c r="P164" s="14" t="s">
        <v>1851</v>
      </c>
      <c r="Q164" s="42" t="str">
        <f t="shared" si="2"/>
        <v>https://ec.europa.eu/info/funding-tenders/opportunities/portal/screen/opportunities/topic-details/HORIZON-CL4-2026-01-MAT-PROD-13</v>
      </c>
    </row>
    <row r="165" spans="1:17" ht="66" customHeight="1" thickBot="1" x14ac:dyDescent="0.35">
      <c r="A165" s="37" t="s">
        <v>2773</v>
      </c>
      <c r="B165" s="37" t="s">
        <v>2776</v>
      </c>
      <c r="C165" s="37" t="s">
        <v>2777</v>
      </c>
      <c r="D165" s="4" t="s">
        <v>1490</v>
      </c>
      <c r="E165" s="21" t="s">
        <v>952</v>
      </c>
      <c r="F165" s="4" t="s">
        <v>953</v>
      </c>
      <c r="G165" s="4" t="s">
        <v>954</v>
      </c>
      <c r="H165" s="14"/>
      <c r="I165" s="14" t="s">
        <v>890</v>
      </c>
      <c r="J165" s="14" t="s">
        <v>990</v>
      </c>
      <c r="K165" s="13" t="s">
        <v>50</v>
      </c>
      <c r="L165" s="13" t="s">
        <v>12</v>
      </c>
      <c r="M165" s="23">
        <v>46028</v>
      </c>
      <c r="N165" s="24">
        <v>46133</v>
      </c>
      <c r="O165" s="14" t="s">
        <v>1852</v>
      </c>
      <c r="P165" s="14" t="s">
        <v>1853</v>
      </c>
      <c r="Q165" s="42" t="str">
        <f t="shared" si="2"/>
        <v>https://ec.europa.eu/info/funding-tenders/opportunities/portal/screen/opportunities/topic-details/HORIZON-CL4-2026-01-MAT-PROD-14</v>
      </c>
    </row>
    <row r="166" spans="1:17" ht="66" customHeight="1" thickBot="1" x14ac:dyDescent="0.35">
      <c r="A166" s="37" t="s">
        <v>2773</v>
      </c>
      <c r="B166" s="37" t="s">
        <v>2776</v>
      </c>
      <c r="C166" s="37" t="s">
        <v>2777</v>
      </c>
      <c r="D166" s="4" t="s">
        <v>1490</v>
      </c>
      <c r="E166" s="21" t="s">
        <v>955</v>
      </c>
      <c r="F166" s="4" t="s">
        <v>956</v>
      </c>
      <c r="G166" s="4" t="s">
        <v>957</v>
      </c>
      <c r="H166" s="14"/>
      <c r="I166" s="14" t="s">
        <v>890</v>
      </c>
      <c r="J166" s="14" t="s">
        <v>991</v>
      </c>
      <c r="K166" s="13" t="s">
        <v>50</v>
      </c>
      <c r="L166" s="13" t="s">
        <v>12</v>
      </c>
      <c r="M166" s="23">
        <v>46287</v>
      </c>
      <c r="N166" s="24">
        <v>46420</v>
      </c>
      <c r="O166" s="14" t="s">
        <v>1854</v>
      </c>
      <c r="P166" s="14" t="s">
        <v>1855</v>
      </c>
      <c r="Q166" s="42" t="str">
        <f t="shared" si="2"/>
        <v>https://ec.europa.eu/info/funding-tenders/opportunities/portal/screen/opportunities/topic-details/HORIZON-CL4-2027-01-MAT-PROD-16</v>
      </c>
    </row>
    <row r="167" spans="1:17" ht="66" customHeight="1" thickBot="1" x14ac:dyDescent="0.35">
      <c r="A167" s="37" t="s">
        <v>2773</v>
      </c>
      <c r="B167" s="37" t="s">
        <v>2776</v>
      </c>
      <c r="C167" s="37" t="s">
        <v>2777</v>
      </c>
      <c r="D167" s="4" t="s">
        <v>1490</v>
      </c>
      <c r="E167" s="21" t="s">
        <v>958</v>
      </c>
      <c r="F167" s="4" t="s">
        <v>959</v>
      </c>
      <c r="G167" s="4" t="s">
        <v>960</v>
      </c>
      <c r="H167" s="14"/>
      <c r="I167" s="14" t="s">
        <v>926</v>
      </c>
      <c r="J167" s="14" t="s">
        <v>992</v>
      </c>
      <c r="K167" s="13" t="s">
        <v>16</v>
      </c>
      <c r="L167" s="13" t="s">
        <v>12</v>
      </c>
      <c r="M167" s="23">
        <v>46287</v>
      </c>
      <c r="N167" s="24">
        <v>46420</v>
      </c>
      <c r="O167" s="14" t="s">
        <v>1856</v>
      </c>
      <c r="P167" s="14" t="s">
        <v>1857</v>
      </c>
      <c r="Q167" s="42" t="str">
        <f t="shared" si="2"/>
        <v>https://ec.europa.eu/info/funding-tenders/opportunities/portal/screen/opportunities/topic-details/HORIZON-CL4-2027-01-MAT-PROD-17</v>
      </c>
    </row>
    <row r="168" spans="1:17" ht="66" customHeight="1" thickBot="1" x14ac:dyDescent="0.35">
      <c r="A168" s="37" t="s">
        <v>2773</v>
      </c>
      <c r="B168" s="37" t="s">
        <v>2776</v>
      </c>
      <c r="C168" s="37" t="s">
        <v>2777</v>
      </c>
      <c r="D168" s="4" t="s">
        <v>1490</v>
      </c>
      <c r="E168" s="21" t="s">
        <v>961</v>
      </c>
      <c r="F168" s="4" t="s">
        <v>962</v>
      </c>
      <c r="G168" s="4" t="s">
        <v>963</v>
      </c>
      <c r="H168" s="14"/>
      <c r="I168" s="14" t="s">
        <v>964</v>
      </c>
      <c r="J168" s="14" t="s">
        <v>993</v>
      </c>
      <c r="K168" s="13" t="s">
        <v>11</v>
      </c>
      <c r="L168" s="13" t="s">
        <v>12</v>
      </c>
      <c r="M168" s="23">
        <v>46037</v>
      </c>
      <c r="N168" s="24">
        <v>46127</v>
      </c>
      <c r="O168" s="14" t="s">
        <v>1858</v>
      </c>
      <c r="P168" s="14" t="s">
        <v>1859</v>
      </c>
      <c r="Q168" s="42" t="str">
        <f t="shared" si="2"/>
        <v>https://ec.europa.eu/info/funding-tenders/opportunities/portal/screen/opportunities/topic-details/HORIZON-CL4-2026-05-MAT-PROD-25</v>
      </c>
    </row>
    <row r="169" spans="1:17" ht="66" customHeight="1" thickBot="1" x14ac:dyDescent="0.35">
      <c r="A169" s="37" t="s">
        <v>2773</v>
      </c>
      <c r="B169" s="37" t="s">
        <v>2776</v>
      </c>
      <c r="C169" s="37" t="s">
        <v>2777</v>
      </c>
      <c r="D169" s="4" t="s">
        <v>1490</v>
      </c>
      <c r="E169" s="21" t="s">
        <v>994</v>
      </c>
      <c r="F169" s="4" t="s">
        <v>995</v>
      </c>
      <c r="G169" s="4" t="s">
        <v>996</v>
      </c>
      <c r="H169" s="14"/>
      <c r="I169" s="14" t="s">
        <v>852</v>
      </c>
      <c r="J169" s="14" t="s">
        <v>997</v>
      </c>
      <c r="K169" s="13" t="s">
        <v>50</v>
      </c>
      <c r="L169" s="13" t="s">
        <v>12</v>
      </c>
      <c r="M169" s="23">
        <v>46343</v>
      </c>
      <c r="N169" s="24">
        <v>46464</v>
      </c>
      <c r="O169" s="14" t="s">
        <v>1860</v>
      </c>
      <c r="P169" s="14" t="s">
        <v>1861</v>
      </c>
      <c r="Q169" s="42" t="str">
        <f t="shared" si="2"/>
        <v>https://ec.europa.eu/info/funding-tenders/opportunities/portal/screen/opportunities/topic-details/HORIZON-CL4-2027-04-DATA-08</v>
      </c>
    </row>
    <row r="170" spans="1:17" ht="66" customHeight="1" thickBot="1" x14ac:dyDescent="0.35">
      <c r="A170" s="37" t="s">
        <v>2773</v>
      </c>
      <c r="B170" s="37" t="s">
        <v>2776</v>
      </c>
      <c r="C170" s="37" t="s">
        <v>2777</v>
      </c>
      <c r="D170" s="4" t="s">
        <v>1490</v>
      </c>
      <c r="E170" s="21" t="s">
        <v>998</v>
      </c>
      <c r="F170" s="4" t="s">
        <v>999</v>
      </c>
      <c r="G170" s="4" t="s">
        <v>1000</v>
      </c>
      <c r="H170" s="14"/>
      <c r="I170" s="14" t="s">
        <v>933</v>
      </c>
      <c r="J170" s="14" t="s">
        <v>1001</v>
      </c>
      <c r="K170" s="13" t="s">
        <v>11</v>
      </c>
      <c r="L170" s="13" t="s">
        <v>12</v>
      </c>
      <c r="M170" s="23">
        <v>46037</v>
      </c>
      <c r="N170" s="24">
        <v>46127</v>
      </c>
      <c r="O170" s="14" t="s">
        <v>1862</v>
      </c>
      <c r="P170" s="14" t="s">
        <v>1863</v>
      </c>
      <c r="Q170" s="42" t="str">
        <f t="shared" si="2"/>
        <v>https://ec.europa.eu/info/funding-tenders/opportunities/portal/screen/opportunities/topic-details/HORIZON-CL4-2026-04-DATA-02</v>
      </c>
    </row>
    <row r="171" spans="1:17" ht="66" customHeight="1" thickBot="1" x14ac:dyDescent="0.35">
      <c r="A171" s="37" t="s">
        <v>2773</v>
      </c>
      <c r="B171" s="37" t="s">
        <v>2776</v>
      </c>
      <c r="C171" s="37" t="s">
        <v>2777</v>
      </c>
      <c r="D171" s="4" t="s">
        <v>1490</v>
      </c>
      <c r="E171" s="21" t="s">
        <v>1002</v>
      </c>
      <c r="F171" s="4" t="s">
        <v>1003</v>
      </c>
      <c r="G171" s="4" t="s">
        <v>1004</v>
      </c>
      <c r="H171" s="14"/>
      <c r="I171" s="14" t="s">
        <v>848</v>
      </c>
      <c r="J171" s="14" t="s">
        <v>1005</v>
      </c>
      <c r="K171" s="13" t="s">
        <v>16</v>
      </c>
      <c r="L171" s="13" t="s">
        <v>12</v>
      </c>
      <c r="M171" s="23">
        <v>46037</v>
      </c>
      <c r="N171" s="24">
        <v>46127</v>
      </c>
      <c r="O171" s="14" t="s">
        <v>1864</v>
      </c>
      <c r="P171" s="14" t="s">
        <v>1865</v>
      </c>
      <c r="Q171" s="42" t="str">
        <f t="shared" si="2"/>
        <v>https://ec.europa.eu/info/funding-tenders/opportunities/portal/screen/opportunities/topic-details/HORIZON-CL4-2026-04-DATA-03</v>
      </c>
    </row>
    <row r="172" spans="1:17" ht="66" customHeight="1" thickBot="1" x14ac:dyDescent="0.35">
      <c r="A172" s="37" t="s">
        <v>2773</v>
      </c>
      <c r="B172" s="37" t="s">
        <v>2776</v>
      </c>
      <c r="C172" s="37" t="s">
        <v>2777</v>
      </c>
      <c r="D172" s="4" t="s">
        <v>1490</v>
      </c>
      <c r="E172" s="21" t="s">
        <v>1006</v>
      </c>
      <c r="F172" s="4" t="s">
        <v>1007</v>
      </c>
      <c r="G172" s="4" t="s">
        <v>1008</v>
      </c>
      <c r="H172" s="14"/>
      <c r="I172" s="14" t="s">
        <v>933</v>
      </c>
      <c r="J172" s="14" t="s">
        <v>1009</v>
      </c>
      <c r="K172" s="13" t="s">
        <v>11</v>
      </c>
      <c r="L172" s="13" t="s">
        <v>12</v>
      </c>
      <c r="M172" s="23">
        <v>46343</v>
      </c>
      <c r="N172" s="24">
        <v>46464</v>
      </c>
      <c r="O172" s="14" t="s">
        <v>1866</v>
      </c>
      <c r="P172" s="14" t="s">
        <v>1867</v>
      </c>
      <c r="Q172" s="42" t="str">
        <f t="shared" si="2"/>
        <v>https://ec.europa.eu/info/funding-tenders/opportunities/portal/screen/opportunities/topic-details/HORIZON-CL4-2027-04-DATA-03</v>
      </c>
    </row>
    <row r="173" spans="1:17" ht="66" customHeight="1" thickBot="1" x14ac:dyDescent="0.35">
      <c r="A173" s="37" t="s">
        <v>2773</v>
      </c>
      <c r="B173" s="37" t="s">
        <v>2776</v>
      </c>
      <c r="C173" s="37" t="s">
        <v>2777</v>
      </c>
      <c r="D173" s="4" t="s">
        <v>1490</v>
      </c>
      <c r="E173" s="21" t="s">
        <v>1010</v>
      </c>
      <c r="F173" s="4" t="s">
        <v>1011</v>
      </c>
      <c r="G173" s="4" t="s">
        <v>1012</v>
      </c>
      <c r="H173" s="14"/>
      <c r="I173" s="14" t="s">
        <v>1013</v>
      </c>
      <c r="J173" s="14" t="s">
        <v>1014</v>
      </c>
      <c r="K173" s="13" t="s">
        <v>50</v>
      </c>
      <c r="L173" s="13" t="s">
        <v>12</v>
      </c>
      <c r="M173" s="23">
        <v>46343</v>
      </c>
      <c r="N173" s="24">
        <v>46464</v>
      </c>
      <c r="O173" s="14" t="s">
        <v>1868</v>
      </c>
      <c r="P173" s="14" t="s">
        <v>1869</v>
      </c>
      <c r="Q173" s="42" t="str">
        <f t="shared" si="2"/>
        <v>https://ec.europa.eu/info/funding-tenders/opportunities/portal/screen/opportunities/topic-details/HORIZON-CL4-2027-04-DATA-09</v>
      </c>
    </row>
    <row r="174" spans="1:17" ht="66" customHeight="1" thickBot="1" x14ac:dyDescent="0.35">
      <c r="A174" s="37" t="s">
        <v>2773</v>
      </c>
      <c r="B174" s="37" t="s">
        <v>2776</v>
      </c>
      <c r="C174" s="37" t="s">
        <v>2777</v>
      </c>
      <c r="D174" s="4" t="s">
        <v>1490</v>
      </c>
      <c r="E174" s="21" t="s">
        <v>1015</v>
      </c>
      <c r="F174" s="4" t="s">
        <v>1016</v>
      </c>
      <c r="G174" s="4" t="s">
        <v>1017</v>
      </c>
      <c r="H174" s="14"/>
      <c r="I174" s="14" t="s">
        <v>933</v>
      </c>
      <c r="J174" s="14" t="s">
        <v>1018</v>
      </c>
      <c r="K174" s="13" t="s">
        <v>50</v>
      </c>
      <c r="L174" s="13" t="s">
        <v>12</v>
      </c>
      <c r="M174" s="23">
        <v>46037</v>
      </c>
      <c r="N174" s="24">
        <v>46127</v>
      </c>
      <c r="O174" s="14" t="s">
        <v>1870</v>
      </c>
      <c r="P174" s="14" t="s">
        <v>1871</v>
      </c>
      <c r="Q174" s="42" t="str">
        <f t="shared" si="2"/>
        <v>https://ec.europa.eu/info/funding-tenders/opportunities/portal/screen/opportunities/topic-details/HORIZON-CL4-2026-04-DATA-06</v>
      </c>
    </row>
    <row r="175" spans="1:17" ht="66" customHeight="1" thickBot="1" x14ac:dyDescent="0.35">
      <c r="A175" s="37" t="s">
        <v>2773</v>
      </c>
      <c r="B175" s="37" t="s">
        <v>2776</v>
      </c>
      <c r="C175" s="37" t="s">
        <v>2777</v>
      </c>
      <c r="D175" s="4" t="s">
        <v>1490</v>
      </c>
      <c r="E175" s="21" t="s">
        <v>1019</v>
      </c>
      <c r="F175" s="4" t="s">
        <v>1020</v>
      </c>
      <c r="G175" s="4" t="s">
        <v>1021</v>
      </c>
      <c r="H175" s="14"/>
      <c r="I175" s="14" t="s">
        <v>933</v>
      </c>
      <c r="J175" s="14" t="s">
        <v>1022</v>
      </c>
      <c r="K175" s="13" t="s">
        <v>11</v>
      </c>
      <c r="L175" s="13" t="s">
        <v>12</v>
      </c>
      <c r="M175" s="23">
        <v>46037</v>
      </c>
      <c r="N175" s="24">
        <v>46127</v>
      </c>
      <c r="O175" s="14" t="s">
        <v>1872</v>
      </c>
      <c r="P175" s="14" t="s">
        <v>1873</v>
      </c>
      <c r="Q175" s="42" t="str">
        <f t="shared" si="2"/>
        <v>https://ec.europa.eu/info/funding-tenders/opportunities/portal/screen/opportunities/topic-details/HORIZON-CL4-2026-04-DIGITAL-EMERGING-01</v>
      </c>
    </row>
    <row r="176" spans="1:17" ht="66" customHeight="1" thickBot="1" x14ac:dyDescent="0.35">
      <c r="A176" s="37" t="s">
        <v>2773</v>
      </c>
      <c r="B176" s="37" t="s">
        <v>2776</v>
      </c>
      <c r="C176" s="37" t="s">
        <v>2777</v>
      </c>
      <c r="D176" s="4" t="s">
        <v>1490</v>
      </c>
      <c r="E176" s="21" t="s">
        <v>1023</v>
      </c>
      <c r="F176" s="4" t="s">
        <v>1024</v>
      </c>
      <c r="G176" s="4" t="s">
        <v>1025</v>
      </c>
      <c r="H176" s="14"/>
      <c r="I176" s="14" t="s">
        <v>933</v>
      </c>
      <c r="J176" s="14" t="s">
        <v>1026</v>
      </c>
      <c r="K176" s="13" t="s">
        <v>11</v>
      </c>
      <c r="L176" s="13" t="s">
        <v>12</v>
      </c>
      <c r="M176" s="23">
        <v>46343</v>
      </c>
      <c r="N176" s="24">
        <v>46464</v>
      </c>
      <c r="O176" s="14" t="s">
        <v>1874</v>
      </c>
      <c r="P176" s="14" t="s">
        <v>1875</v>
      </c>
      <c r="Q176" s="42" t="str">
        <f t="shared" si="2"/>
        <v>https://ec.europa.eu/info/funding-tenders/opportunities/portal/screen/opportunities/topic-details/HORIZON-CL4-2027-04-DIGITAL-EMERGING-11</v>
      </c>
    </row>
    <row r="177" spans="1:17" ht="66" customHeight="1" thickBot="1" x14ac:dyDescent="0.35">
      <c r="A177" s="37" t="s">
        <v>2773</v>
      </c>
      <c r="B177" s="37" t="s">
        <v>2776</v>
      </c>
      <c r="C177" s="37" t="s">
        <v>2777</v>
      </c>
      <c r="D177" s="4" t="s">
        <v>1490</v>
      </c>
      <c r="E177" s="21" t="s">
        <v>1027</v>
      </c>
      <c r="F177" s="4" t="s">
        <v>1028</v>
      </c>
      <c r="G177" s="4" t="s">
        <v>1029</v>
      </c>
      <c r="H177" s="14"/>
      <c r="I177" s="14" t="s">
        <v>933</v>
      </c>
      <c r="J177" s="14" t="s">
        <v>1030</v>
      </c>
      <c r="K177" s="13" t="s">
        <v>11</v>
      </c>
      <c r="L177" s="13" t="s">
        <v>12</v>
      </c>
      <c r="M177" s="23">
        <v>46037</v>
      </c>
      <c r="N177" s="24">
        <v>46127</v>
      </c>
      <c r="O177" s="14" t="s">
        <v>1876</v>
      </c>
      <c r="P177" s="14" t="s">
        <v>1877</v>
      </c>
      <c r="Q177" s="42" t="str">
        <f t="shared" si="2"/>
        <v>https://ec.europa.eu/info/funding-tenders/opportunities/portal/screen/opportunities/topic-details/HORIZON-CL4-2026-05-DIGITAL-EMERGING-02</v>
      </c>
    </row>
    <row r="178" spans="1:17" ht="66" customHeight="1" thickBot="1" x14ac:dyDescent="0.35">
      <c r="A178" s="37" t="s">
        <v>2773</v>
      </c>
      <c r="B178" s="37" t="s">
        <v>2776</v>
      </c>
      <c r="C178" s="37" t="s">
        <v>2777</v>
      </c>
      <c r="D178" s="4" t="s">
        <v>1490</v>
      </c>
      <c r="E178" s="21" t="s">
        <v>1031</v>
      </c>
      <c r="F178" s="4" t="s">
        <v>1032</v>
      </c>
      <c r="G178" s="4" t="s">
        <v>1033</v>
      </c>
      <c r="H178" s="14"/>
      <c r="I178" s="14" t="s">
        <v>508</v>
      </c>
      <c r="J178" s="14" t="s">
        <v>1034</v>
      </c>
      <c r="K178" s="13" t="s">
        <v>11</v>
      </c>
      <c r="L178" s="13" t="s">
        <v>12</v>
      </c>
      <c r="M178" s="23">
        <v>46343</v>
      </c>
      <c r="N178" s="24">
        <v>46464</v>
      </c>
      <c r="O178" s="14" t="s">
        <v>1878</v>
      </c>
      <c r="P178" s="14" t="s">
        <v>1879</v>
      </c>
      <c r="Q178" s="42" t="str">
        <f t="shared" si="2"/>
        <v>https://ec.europa.eu/info/funding-tenders/opportunities/portal/screen/opportunities/topic-details/HORIZON-CL4-2027-04-DIGITAL-EMERGING-04</v>
      </c>
    </row>
    <row r="179" spans="1:17" ht="66" customHeight="1" thickBot="1" x14ac:dyDescent="0.35">
      <c r="A179" s="37" t="s">
        <v>2773</v>
      </c>
      <c r="B179" s="37" t="s">
        <v>2776</v>
      </c>
      <c r="C179" s="37" t="s">
        <v>2777</v>
      </c>
      <c r="D179" s="4" t="s">
        <v>1490</v>
      </c>
      <c r="E179" s="21" t="s">
        <v>1035</v>
      </c>
      <c r="F179" s="4" t="s">
        <v>1036</v>
      </c>
      <c r="G179" s="4" t="s">
        <v>1037</v>
      </c>
      <c r="H179" s="14"/>
      <c r="I179" s="14" t="s">
        <v>508</v>
      </c>
      <c r="J179" s="14" t="s">
        <v>1038</v>
      </c>
      <c r="K179" s="13" t="s">
        <v>11</v>
      </c>
      <c r="L179" s="13" t="s">
        <v>12</v>
      </c>
      <c r="M179" s="23">
        <v>46037</v>
      </c>
      <c r="N179" s="24">
        <v>46127</v>
      </c>
      <c r="O179" s="14" t="s">
        <v>1880</v>
      </c>
      <c r="P179" s="14" t="s">
        <v>1881</v>
      </c>
      <c r="Q179" s="42" t="str">
        <f t="shared" si="2"/>
        <v>https://ec.europa.eu/info/funding-tenders/opportunities/portal/screen/opportunities/topic-details/HORIZON-CL4-2026-04-DIGITAL-EMERGING-19</v>
      </c>
    </row>
    <row r="180" spans="1:17" ht="66" customHeight="1" thickBot="1" x14ac:dyDescent="0.35">
      <c r="A180" s="37" t="s">
        <v>2773</v>
      </c>
      <c r="B180" s="37" t="s">
        <v>2776</v>
      </c>
      <c r="C180" s="37" t="s">
        <v>2777</v>
      </c>
      <c r="D180" s="4" t="s">
        <v>1490</v>
      </c>
      <c r="E180" s="21" t="s">
        <v>1039</v>
      </c>
      <c r="F180" s="4" t="s">
        <v>1040</v>
      </c>
      <c r="G180" s="4" t="s">
        <v>1041</v>
      </c>
      <c r="H180" s="14"/>
      <c r="I180" s="14" t="s">
        <v>1042</v>
      </c>
      <c r="J180" s="14" t="s">
        <v>1043</v>
      </c>
      <c r="K180" s="13" t="s">
        <v>11</v>
      </c>
      <c r="L180" s="13" t="s">
        <v>12</v>
      </c>
      <c r="M180" s="23">
        <v>46037</v>
      </c>
      <c r="N180" s="24">
        <v>46127</v>
      </c>
      <c r="O180" s="14" t="s">
        <v>1882</v>
      </c>
      <c r="P180" s="14" t="s">
        <v>1883</v>
      </c>
      <c r="Q180" s="42" t="str">
        <f t="shared" si="2"/>
        <v>https://ec.europa.eu/info/funding-tenders/opportunities/portal/screen/opportunities/topic-details/HORIZON-CL4-2026-05-DIGITAL-EMERGING-03</v>
      </c>
    </row>
    <row r="181" spans="1:17" ht="66" customHeight="1" thickBot="1" x14ac:dyDescent="0.35">
      <c r="A181" s="37" t="s">
        <v>2773</v>
      </c>
      <c r="B181" s="37" t="s">
        <v>2776</v>
      </c>
      <c r="C181" s="37" t="s">
        <v>2777</v>
      </c>
      <c r="D181" s="4" t="s">
        <v>1490</v>
      </c>
      <c r="E181" s="21" t="s">
        <v>1044</v>
      </c>
      <c r="F181" s="4" t="s">
        <v>1045</v>
      </c>
      <c r="G181" s="4" t="s">
        <v>1046</v>
      </c>
      <c r="H181" s="14"/>
      <c r="I181" s="14" t="s">
        <v>852</v>
      </c>
      <c r="J181" s="14" t="s">
        <v>1047</v>
      </c>
      <c r="K181" s="13" t="s">
        <v>50</v>
      </c>
      <c r="L181" s="13" t="s">
        <v>12</v>
      </c>
      <c r="M181" s="23">
        <v>46343</v>
      </c>
      <c r="N181" s="24">
        <v>46464</v>
      </c>
      <c r="O181" s="14" t="s">
        <v>1884</v>
      </c>
      <c r="P181" s="14" t="s">
        <v>1885</v>
      </c>
      <c r="Q181" s="42" t="str">
        <f t="shared" si="2"/>
        <v>https://ec.europa.eu/info/funding-tenders/opportunities/portal/screen/opportunities/topic-details/HORIZON-CL4-2027-04-DIGITAL-EMERGING-05</v>
      </c>
    </row>
    <row r="182" spans="1:17" ht="66" customHeight="1" thickBot="1" x14ac:dyDescent="0.35">
      <c r="A182" s="37" t="s">
        <v>2773</v>
      </c>
      <c r="B182" s="37" t="s">
        <v>2776</v>
      </c>
      <c r="C182" s="37" t="s">
        <v>2777</v>
      </c>
      <c r="D182" s="4" t="s">
        <v>1490</v>
      </c>
      <c r="E182" s="21" t="s">
        <v>1048</v>
      </c>
      <c r="F182" s="4" t="s">
        <v>1049</v>
      </c>
      <c r="G182" s="4" t="s">
        <v>2568</v>
      </c>
      <c r="H182" s="14"/>
      <c r="I182" s="14" t="s">
        <v>907</v>
      </c>
      <c r="J182" s="14" t="s">
        <v>1050</v>
      </c>
      <c r="K182" s="13" t="s">
        <v>11</v>
      </c>
      <c r="L182" s="13" t="s">
        <v>12</v>
      </c>
      <c r="M182" s="23">
        <v>46037</v>
      </c>
      <c r="N182" s="24">
        <v>46127</v>
      </c>
      <c r="O182" s="14" t="s">
        <v>1886</v>
      </c>
      <c r="P182" s="14" t="s">
        <v>1887</v>
      </c>
      <c r="Q182" s="42" t="str">
        <f t="shared" si="2"/>
        <v>https://ec.europa.eu/info/funding-tenders/opportunities/portal/screen/opportunities/topic-details/HORIZON-CL4-2026-04-DIGITAL-EMERGING-08</v>
      </c>
    </row>
    <row r="183" spans="1:17" ht="66" customHeight="1" thickBot="1" x14ac:dyDescent="0.35">
      <c r="A183" s="37" t="s">
        <v>2773</v>
      </c>
      <c r="B183" s="37" t="s">
        <v>2776</v>
      </c>
      <c r="C183" s="37" t="s">
        <v>2777</v>
      </c>
      <c r="D183" s="4" t="s">
        <v>1490</v>
      </c>
      <c r="E183" s="21" t="s">
        <v>1051</v>
      </c>
      <c r="F183" s="4" t="s">
        <v>1052</v>
      </c>
      <c r="G183" s="4" t="s">
        <v>1053</v>
      </c>
      <c r="H183" s="14"/>
      <c r="I183" s="14" t="s">
        <v>1054</v>
      </c>
      <c r="J183" s="14" t="s">
        <v>1055</v>
      </c>
      <c r="K183" s="13" t="s">
        <v>50</v>
      </c>
      <c r="L183" s="13" t="s">
        <v>12</v>
      </c>
      <c r="M183" s="23">
        <v>46037</v>
      </c>
      <c r="N183" s="24">
        <v>46127</v>
      </c>
      <c r="O183" s="14" t="s">
        <v>1888</v>
      </c>
      <c r="P183" s="14" t="s">
        <v>1889</v>
      </c>
      <c r="Q183" s="42" t="str">
        <f t="shared" si="2"/>
        <v>https://ec.europa.eu/info/funding-tenders/opportunities/portal/screen/opportunities/topic-details/HORIZON-CL4-2026-04-DIGITAL-EMERGING-09</v>
      </c>
    </row>
    <row r="184" spans="1:17" ht="66" customHeight="1" thickBot="1" x14ac:dyDescent="0.35">
      <c r="A184" s="37" t="s">
        <v>2773</v>
      </c>
      <c r="B184" s="37" t="s">
        <v>2776</v>
      </c>
      <c r="C184" s="37" t="s">
        <v>2777</v>
      </c>
      <c r="D184" s="4" t="s">
        <v>1490</v>
      </c>
      <c r="E184" s="21" t="s">
        <v>1056</v>
      </c>
      <c r="F184" s="4" t="s">
        <v>1057</v>
      </c>
      <c r="G184" s="4" t="s">
        <v>2569</v>
      </c>
      <c r="H184" s="14"/>
      <c r="I184" s="14" t="s">
        <v>508</v>
      </c>
      <c r="J184" s="14" t="s">
        <v>1058</v>
      </c>
      <c r="K184" s="13" t="s">
        <v>50</v>
      </c>
      <c r="L184" s="13" t="s">
        <v>12</v>
      </c>
      <c r="M184" s="23">
        <v>46343</v>
      </c>
      <c r="N184" s="24">
        <v>46464</v>
      </c>
      <c r="O184" s="14" t="s">
        <v>1890</v>
      </c>
      <c r="P184" s="14" t="s">
        <v>1891</v>
      </c>
      <c r="Q184" s="42" t="str">
        <f t="shared" si="2"/>
        <v>https://ec.europa.eu/info/funding-tenders/opportunities/portal/screen/opportunities/topic-details/HORIZON-CL4-2027-04-DIGITAL-EMERGING-06</v>
      </c>
    </row>
    <row r="185" spans="1:17" ht="66" customHeight="1" thickBot="1" x14ac:dyDescent="0.35">
      <c r="A185" s="37" t="s">
        <v>2773</v>
      </c>
      <c r="B185" s="37" t="s">
        <v>2776</v>
      </c>
      <c r="C185" s="37" t="s">
        <v>2777</v>
      </c>
      <c r="D185" s="4" t="s">
        <v>1490</v>
      </c>
      <c r="E185" s="21" t="s">
        <v>1059</v>
      </c>
      <c r="F185" s="4" t="s">
        <v>1060</v>
      </c>
      <c r="G185" s="4" t="s">
        <v>1061</v>
      </c>
      <c r="H185" s="14"/>
      <c r="I185" s="14" t="s">
        <v>1062</v>
      </c>
      <c r="J185" s="14" t="s">
        <v>1063</v>
      </c>
      <c r="K185" s="13" t="s">
        <v>16</v>
      </c>
      <c r="L185" s="13" t="s">
        <v>12</v>
      </c>
      <c r="M185" s="23">
        <v>46037</v>
      </c>
      <c r="N185" s="24">
        <v>46127</v>
      </c>
      <c r="O185" s="14" t="s">
        <v>1892</v>
      </c>
      <c r="P185" s="14" t="s">
        <v>1893</v>
      </c>
      <c r="Q185" s="42" t="str">
        <f t="shared" si="2"/>
        <v>https://ec.europa.eu/info/funding-tenders/opportunities/portal/screen/opportunities/topic-details/HORIZON-CL4-2026-04-DIGITAL-EMERGING-11</v>
      </c>
    </row>
    <row r="186" spans="1:17" ht="66" customHeight="1" thickBot="1" x14ac:dyDescent="0.35">
      <c r="A186" s="37" t="s">
        <v>2773</v>
      </c>
      <c r="B186" s="37" t="s">
        <v>2776</v>
      </c>
      <c r="C186" s="37" t="s">
        <v>2777</v>
      </c>
      <c r="D186" s="4" t="s">
        <v>1490</v>
      </c>
      <c r="E186" s="21" t="s">
        <v>1064</v>
      </c>
      <c r="F186" s="4" t="s">
        <v>1065</v>
      </c>
      <c r="G186" s="4" t="s">
        <v>1066</v>
      </c>
      <c r="H186" s="14"/>
      <c r="I186" s="14" t="s">
        <v>1067</v>
      </c>
      <c r="J186" s="14" t="s">
        <v>1068</v>
      </c>
      <c r="K186" s="13" t="s">
        <v>16</v>
      </c>
      <c r="L186" s="13" t="s">
        <v>12</v>
      </c>
      <c r="M186" s="23">
        <v>46037</v>
      </c>
      <c r="N186" s="24">
        <v>46127</v>
      </c>
      <c r="O186" s="14" t="s">
        <v>1894</v>
      </c>
      <c r="P186" s="14" t="s">
        <v>1895</v>
      </c>
      <c r="Q186" s="42" t="str">
        <f t="shared" si="2"/>
        <v>https://ec.europa.eu/info/funding-tenders/opportunities/portal/screen/opportunities/topic-details/HORIZON-CL4-2026-04-DIGITAL-EMERGING-12</v>
      </c>
    </row>
    <row r="187" spans="1:17" ht="66" customHeight="1" thickBot="1" x14ac:dyDescent="0.35">
      <c r="A187" s="37" t="s">
        <v>2773</v>
      </c>
      <c r="B187" s="37" t="s">
        <v>2776</v>
      </c>
      <c r="C187" s="37" t="s">
        <v>2777</v>
      </c>
      <c r="D187" s="4" t="s">
        <v>1490</v>
      </c>
      <c r="E187" s="21" t="s">
        <v>1069</v>
      </c>
      <c r="F187" s="4" t="s">
        <v>1070</v>
      </c>
      <c r="G187" s="4" t="s">
        <v>1071</v>
      </c>
      <c r="H187" s="14"/>
      <c r="I187" s="14" t="s">
        <v>1067</v>
      </c>
      <c r="J187" s="14" t="s">
        <v>1072</v>
      </c>
      <c r="K187" s="13" t="s">
        <v>11</v>
      </c>
      <c r="L187" s="13" t="s">
        <v>12</v>
      </c>
      <c r="M187" s="23">
        <v>46037</v>
      </c>
      <c r="N187" s="24">
        <v>46127</v>
      </c>
      <c r="O187" s="14" t="s">
        <v>1896</v>
      </c>
      <c r="P187" s="14" t="s">
        <v>1897</v>
      </c>
      <c r="Q187" s="42" t="str">
        <f t="shared" si="2"/>
        <v>https://ec.europa.eu/info/funding-tenders/opportunities/portal/screen/opportunities/topic-details/HORIZON-CL4-2026-04-DIGITAL-EMERGING-18</v>
      </c>
    </row>
    <row r="188" spans="1:17" ht="66" customHeight="1" thickBot="1" x14ac:dyDescent="0.35">
      <c r="A188" s="37" t="s">
        <v>2773</v>
      </c>
      <c r="B188" s="37" t="s">
        <v>2776</v>
      </c>
      <c r="C188" s="37" t="s">
        <v>2777</v>
      </c>
      <c r="D188" s="4" t="s">
        <v>1490</v>
      </c>
      <c r="E188" s="21" t="s">
        <v>1073</v>
      </c>
      <c r="F188" s="4" t="s">
        <v>1074</v>
      </c>
      <c r="G188" s="4" t="s">
        <v>1075</v>
      </c>
      <c r="H188" s="14"/>
      <c r="I188" s="14" t="s">
        <v>1076</v>
      </c>
      <c r="J188" s="14" t="s">
        <v>1077</v>
      </c>
      <c r="K188" s="13" t="s">
        <v>11</v>
      </c>
      <c r="L188" s="13" t="s">
        <v>12</v>
      </c>
      <c r="M188" s="23">
        <v>46343</v>
      </c>
      <c r="N188" s="24">
        <v>46464</v>
      </c>
      <c r="O188" s="14" t="s">
        <v>1898</v>
      </c>
      <c r="P188" s="14" t="s">
        <v>1899</v>
      </c>
      <c r="Q188" s="42" t="str">
        <f t="shared" si="2"/>
        <v>https://ec.europa.eu/info/funding-tenders/opportunities/portal/screen/opportunities/topic-details/HORIZON-CL4-2027-05-DIGITAL-EMERGING-03</v>
      </c>
    </row>
    <row r="189" spans="1:17" ht="66" customHeight="1" thickBot="1" x14ac:dyDescent="0.35">
      <c r="A189" s="37" t="s">
        <v>2773</v>
      </c>
      <c r="B189" s="37" t="s">
        <v>2776</v>
      </c>
      <c r="C189" s="37" t="s">
        <v>2777</v>
      </c>
      <c r="D189" s="4" t="s">
        <v>1490</v>
      </c>
      <c r="E189" s="21" t="s">
        <v>1078</v>
      </c>
      <c r="F189" s="4" t="s">
        <v>1079</v>
      </c>
      <c r="G189" s="4" t="s">
        <v>1080</v>
      </c>
      <c r="H189" s="14"/>
      <c r="I189" s="14" t="s">
        <v>1081</v>
      </c>
      <c r="J189" s="14" t="s">
        <v>1082</v>
      </c>
      <c r="K189" s="13" t="s">
        <v>16</v>
      </c>
      <c r="L189" s="13" t="s">
        <v>12</v>
      </c>
      <c r="M189" s="23">
        <v>46037</v>
      </c>
      <c r="N189" s="24">
        <v>46127</v>
      </c>
      <c r="O189" s="14" t="s">
        <v>1900</v>
      </c>
      <c r="P189" s="14" t="s">
        <v>1901</v>
      </c>
      <c r="Q189" s="42" t="str">
        <f t="shared" si="2"/>
        <v>https://ec.europa.eu/info/funding-tenders/opportunities/portal/screen/opportunities/topic-details/HORIZON-CL4-2026-04-DIGITAL-EMERGING-14</v>
      </c>
    </row>
    <row r="190" spans="1:17" ht="66" customHeight="1" thickBot="1" x14ac:dyDescent="0.35">
      <c r="A190" s="37" t="s">
        <v>2773</v>
      </c>
      <c r="B190" s="37" t="s">
        <v>2776</v>
      </c>
      <c r="C190" s="37" t="s">
        <v>2777</v>
      </c>
      <c r="D190" s="4" t="s">
        <v>1490</v>
      </c>
      <c r="E190" s="21" t="s">
        <v>1083</v>
      </c>
      <c r="F190" s="4" t="s">
        <v>1084</v>
      </c>
      <c r="G190" s="4" t="s">
        <v>1085</v>
      </c>
      <c r="H190" s="14"/>
      <c r="I190" s="14" t="s">
        <v>1081</v>
      </c>
      <c r="J190" s="14" t="s">
        <v>1086</v>
      </c>
      <c r="K190" s="13" t="s">
        <v>16</v>
      </c>
      <c r="L190" s="13" t="s">
        <v>12</v>
      </c>
      <c r="M190" s="23">
        <v>46037</v>
      </c>
      <c r="N190" s="24">
        <v>46127</v>
      </c>
      <c r="O190" s="14" t="s">
        <v>1902</v>
      </c>
      <c r="P190" s="14" t="s">
        <v>1903</v>
      </c>
      <c r="Q190" s="42" t="str">
        <f t="shared" si="2"/>
        <v>https://ec.europa.eu/info/funding-tenders/opportunities/portal/screen/opportunities/topic-details/HORIZON-CL4-2026-04-DIGITAL-EMERGING-15</v>
      </c>
    </row>
    <row r="191" spans="1:17" ht="66" customHeight="1" thickBot="1" x14ac:dyDescent="0.35">
      <c r="A191" s="37" t="s">
        <v>2773</v>
      </c>
      <c r="B191" s="37" t="s">
        <v>2776</v>
      </c>
      <c r="C191" s="37" t="s">
        <v>2777</v>
      </c>
      <c r="D191" s="4" t="s">
        <v>1490</v>
      </c>
      <c r="E191" s="21" t="s">
        <v>1087</v>
      </c>
      <c r="F191" s="4" t="s">
        <v>1088</v>
      </c>
      <c r="G191" s="4" t="s">
        <v>1089</v>
      </c>
      <c r="H191" s="14"/>
      <c r="I191" s="14" t="s">
        <v>677</v>
      </c>
      <c r="J191" s="14" t="s">
        <v>1090</v>
      </c>
      <c r="K191" s="13" t="s">
        <v>16</v>
      </c>
      <c r="L191" s="13" t="s">
        <v>12</v>
      </c>
      <c r="M191" s="23">
        <v>46343</v>
      </c>
      <c r="N191" s="24">
        <v>46464</v>
      </c>
      <c r="O191" s="14" t="s">
        <v>1904</v>
      </c>
      <c r="P191" s="14" t="s">
        <v>1905</v>
      </c>
      <c r="Q191" s="42" t="str">
        <f t="shared" si="2"/>
        <v>https://ec.europa.eu/info/funding-tenders/opportunities/portal/screen/opportunities/topic-details/HORIZON-CL4-2027-04-DIGITAL-EMERGING-10</v>
      </c>
    </row>
    <row r="192" spans="1:17" ht="66" customHeight="1" thickBot="1" x14ac:dyDescent="0.35">
      <c r="A192" s="37" t="s">
        <v>2773</v>
      </c>
      <c r="B192" s="37" t="s">
        <v>2776</v>
      </c>
      <c r="C192" s="37" t="s">
        <v>2777</v>
      </c>
      <c r="D192" s="4" t="s">
        <v>1490</v>
      </c>
      <c r="E192" s="21" t="s">
        <v>1091</v>
      </c>
      <c r="F192" s="4" t="s">
        <v>1092</v>
      </c>
      <c r="G192" s="4" t="s">
        <v>1093</v>
      </c>
      <c r="H192" s="14"/>
      <c r="I192" s="14" t="s">
        <v>1094</v>
      </c>
      <c r="J192" s="14" t="s">
        <v>1095</v>
      </c>
      <c r="K192" s="13" t="s">
        <v>16</v>
      </c>
      <c r="L192" s="13" t="s">
        <v>12</v>
      </c>
      <c r="M192" s="23">
        <v>46037</v>
      </c>
      <c r="N192" s="24">
        <v>46127</v>
      </c>
      <c r="O192" s="14" t="s">
        <v>1906</v>
      </c>
      <c r="P192" s="14" t="s">
        <v>1907</v>
      </c>
      <c r="Q192" s="42" t="str">
        <f t="shared" si="2"/>
        <v>https://ec.europa.eu/info/funding-tenders/opportunities/portal/screen/opportunities/topic-details/HORIZON-CL4-2026-04-DIGITAL-EMERGING-17</v>
      </c>
    </row>
    <row r="193" spans="1:17" ht="66" customHeight="1" thickBot="1" x14ac:dyDescent="0.35">
      <c r="A193" s="37" t="s">
        <v>2773</v>
      </c>
      <c r="B193" s="37" t="s">
        <v>2776</v>
      </c>
      <c r="C193" s="37" t="s">
        <v>2777</v>
      </c>
      <c r="D193" s="4" t="s">
        <v>1490</v>
      </c>
      <c r="E193" s="21" t="s">
        <v>1096</v>
      </c>
      <c r="F193" s="4" t="s">
        <v>1097</v>
      </c>
      <c r="G193" s="4" t="s">
        <v>1098</v>
      </c>
      <c r="H193" s="14"/>
      <c r="I193" s="14" t="s">
        <v>800</v>
      </c>
      <c r="J193" s="14" t="s">
        <v>1099</v>
      </c>
      <c r="K193" s="13" t="s">
        <v>11</v>
      </c>
      <c r="L193" s="13" t="s">
        <v>35</v>
      </c>
      <c r="M193" s="23">
        <v>46007</v>
      </c>
      <c r="N193" s="24" t="s">
        <v>866</v>
      </c>
      <c r="O193" s="14" t="s">
        <v>1908</v>
      </c>
      <c r="P193" s="14" t="s">
        <v>1909</v>
      </c>
      <c r="Q193" s="42" t="str">
        <f t="shared" si="2"/>
        <v>https://ec.europa.eu/info/funding-tenders/opportunities/portal/screen/opportunities/topic-details/HORIZON-CL4-2026-02-DIGITAL-EMERGING-51-two-stage</v>
      </c>
    </row>
    <row r="194" spans="1:17" ht="66" customHeight="1" thickBot="1" x14ac:dyDescent="0.35">
      <c r="A194" s="37" t="s">
        <v>2773</v>
      </c>
      <c r="B194" s="37" t="s">
        <v>2776</v>
      </c>
      <c r="C194" s="37" t="s">
        <v>2777</v>
      </c>
      <c r="D194" s="4" t="s">
        <v>1490</v>
      </c>
      <c r="E194" s="21" t="s">
        <v>1100</v>
      </c>
      <c r="F194" s="4" t="s">
        <v>1101</v>
      </c>
      <c r="G194" s="4" t="s">
        <v>1102</v>
      </c>
      <c r="H194" s="14"/>
      <c r="I194" s="14" t="s">
        <v>778</v>
      </c>
      <c r="J194" s="14" t="s">
        <v>1103</v>
      </c>
      <c r="K194" s="13" t="s">
        <v>11</v>
      </c>
      <c r="L194" s="13" t="s">
        <v>35</v>
      </c>
      <c r="M194" s="23">
        <v>46287</v>
      </c>
      <c r="N194" s="24" t="s">
        <v>908</v>
      </c>
      <c r="O194" s="14" t="s">
        <v>1910</v>
      </c>
      <c r="P194" s="14" t="s">
        <v>1911</v>
      </c>
      <c r="Q194" s="42" t="str">
        <f t="shared" si="2"/>
        <v>https://ec.europa.eu/info/funding-tenders/opportunities/portal/screen/opportunities/topic-details/HORIZON-CL4-2027-02-DIGITAL-EMERGING-52-two-stage</v>
      </c>
    </row>
    <row r="195" spans="1:17" ht="66" customHeight="1" thickBot="1" x14ac:dyDescent="0.35">
      <c r="A195" s="37" t="s">
        <v>2773</v>
      </c>
      <c r="B195" s="37" t="s">
        <v>2776</v>
      </c>
      <c r="C195" s="37" t="s">
        <v>2777</v>
      </c>
      <c r="D195" s="4" t="s">
        <v>1490</v>
      </c>
      <c r="E195" s="21" t="s">
        <v>1104</v>
      </c>
      <c r="F195" s="4" t="s">
        <v>1105</v>
      </c>
      <c r="G195" s="4" t="s">
        <v>1106</v>
      </c>
      <c r="H195" s="14"/>
      <c r="I195" s="14" t="s">
        <v>800</v>
      </c>
      <c r="J195" s="14" t="s">
        <v>1107</v>
      </c>
      <c r="K195" s="13" t="s">
        <v>11</v>
      </c>
      <c r="L195" s="13" t="s">
        <v>35</v>
      </c>
      <c r="M195" s="23">
        <v>46007</v>
      </c>
      <c r="N195" s="24" t="s">
        <v>866</v>
      </c>
      <c r="O195" s="14" t="s">
        <v>1912</v>
      </c>
      <c r="P195" s="14" t="s">
        <v>1913</v>
      </c>
      <c r="Q195" s="42" t="str">
        <f t="shared" si="2"/>
        <v>https://ec.europa.eu/info/funding-tenders/opportunities/portal/screen/opportunities/topic-details/HORIZON-CL4-2026-02-DIGITAL-EMERGING-53-two-stage</v>
      </c>
    </row>
    <row r="196" spans="1:17" ht="66" customHeight="1" thickBot="1" x14ac:dyDescent="0.35">
      <c r="A196" s="37" t="s">
        <v>2773</v>
      </c>
      <c r="B196" s="37" t="s">
        <v>2776</v>
      </c>
      <c r="C196" s="37" t="s">
        <v>2777</v>
      </c>
      <c r="D196" s="4" t="s">
        <v>1490</v>
      </c>
      <c r="E196" s="21" t="s">
        <v>1108</v>
      </c>
      <c r="F196" s="4" t="s">
        <v>1109</v>
      </c>
      <c r="G196" s="4" t="s">
        <v>1110</v>
      </c>
      <c r="H196" s="14"/>
      <c r="I196" s="14" t="s">
        <v>890</v>
      </c>
      <c r="J196" s="14" t="s">
        <v>1111</v>
      </c>
      <c r="K196" s="13" t="s">
        <v>50</v>
      </c>
      <c r="L196" s="13" t="s">
        <v>12</v>
      </c>
      <c r="M196" s="23">
        <v>46091</v>
      </c>
      <c r="N196" s="24">
        <v>46268</v>
      </c>
      <c r="O196" s="14" t="s">
        <v>1914</v>
      </c>
      <c r="P196" s="14" t="s">
        <v>1915</v>
      </c>
      <c r="Q196" s="42" t="str">
        <f t="shared" si="2"/>
        <v>https://ec.europa.eu/info/funding-tenders/opportunities/portal/screen/opportunities/topic-details/HORIZON-CL4-2026-SPACE-03-11</v>
      </c>
    </row>
    <row r="197" spans="1:17" ht="66" customHeight="1" thickBot="1" x14ac:dyDescent="0.35">
      <c r="A197" s="37" t="s">
        <v>2773</v>
      </c>
      <c r="B197" s="37" t="s">
        <v>2776</v>
      </c>
      <c r="C197" s="37" t="s">
        <v>2777</v>
      </c>
      <c r="D197" s="4" t="s">
        <v>1490</v>
      </c>
      <c r="E197" s="21" t="s">
        <v>1112</v>
      </c>
      <c r="F197" s="4" t="s">
        <v>1113</v>
      </c>
      <c r="G197" s="4" t="s">
        <v>1114</v>
      </c>
      <c r="H197" s="14"/>
      <c r="I197" s="14" t="s">
        <v>1013</v>
      </c>
      <c r="J197" s="14" t="s">
        <v>1115</v>
      </c>
      <c r="K197" s="13" t="s">
        <v>50</v>
      </c>
      <c r="L197" s="13" t="s">
        <v>12</v>
      </c>
      <c r="M197" s="23">
        <v>46455</v>
      </c>
      <c r="N197" s="24">
        <v>46632</v>
      </c>
      <c r="O197" s="14" t="s">
        <v>1916</v>
      </c>
      <c r="P197" s="14" t="s">
        <v>1917</v>
      </c>
      <c r="Q197" s="42" t="str">
        <f t="shared" si="2"/>
        <v>https://ec.europa.eu/info/funding-tenders/opportunities/portal/screen/opportunities/topic-details/HORIZON-CL4-2027-SPACE-03-12</v>
      </c>
    </row>
    <row r="198" spans="1:17" ht="66" customHeight="1" thickBot="1" x14ac:dyDescent="0.35">
      <c r="A198" s="37" t="s">
        <v>2773</v>
      </c>
      <c r="B198" s="37" t="s">
        <v>2776</v>
      </c>
      <c r="C198" s="37" t="s">
        <v>2777</v>
      </c>
      <c r="D198" s="4" t="s">
        <v>1490</v>
      </c>
      <c r="E198" s="21" t="s">
        <v>1116</v>
      </c>
      <c r="F198" s="4" t="s">
        <v>1117</v>
      </c>
      <c r="G198" s="4" t="s">
        <v>1118</v>
      </c>
      <c r="H198" s="14"/>
      <c r="I198" s="14" t="s">
        <v>810</v>
      </c>
      <c r="J198" s="14" t="s">
        <v>1119</v>
      </c>
      <c r="K198" s="13" t="s">
        <v>11</v>
      </c>
      <c r="L198" s="13" t="s">
        <v>12</v>
      </c>
      <c r="M198" s="23">
        <v>46455</v>
      </c>
      <c r="N198" s="24">
        <v>46632</v>
      </c>
      <c r="O198" s="14" t="s">
        <v>1918</v>
      </c>
      <c r="P198" s="14" t="s">
        <v>1919</v>
      </c>
      <c r="Q198" s="42" t="str">
        <f t="shared" si="2"/>
        <v>https://ec.europa.eu/info/funding-tenders/opportunities/portal/screen/opportunities/topic-details/HORIZON-CL4-2027-SPACE-03-21</v>
      </c>
    </row>
    <row r="199" spans="1:17" ht="66" customHeight="1" thickBot="1" x14ac:dyDescent="0.35">
      <c r="A199" s="37" t="s">
        <v>2773</v>
      </c>
      <c r="B199" s="37" t="s">
        <v>2776</v>
      </c>
      <c r="C199" s="37" t="s">
        <v>2777</v>
      </c>
      <c r="D199" s="4" t="s">
        <v>1490</v>
      </c>
      <c r="E199" s="21" t="s">
        <v>1120</v>
      </c>
      <c r="F199" s="4" t="s">
        <v>1121</v>
      </c>
      <c r="G199" s="4" t="s">
        <v>1122</v>
      </c>
      <c r="H199" s="14"/>
      <c r="I199" s="14" t="s">
        <v>1123</v>
      </c>
      <c r="J199" s="14" t="s">
        <v>1124</v>
      </c>
      <c r="K199" s="13" t="s">
        <v>11</v>
      </c>
      <c r="L199" s="13" t="s">
        <v>12</v>
      </c>
      <c r="M199" s="23">
        <v>46091</v>
      </c>
      <c r="N199" s="24">
        <v>46268</v>
      </c>
      <c r="O199" s="14" t="s">
        <v>1920</v>
      </c>
      <c r="P199" s="14" t="s">
        <v>1921</v>
      </c>
      <c r="Q199" s="42" t="str">
        <f t="shared" si="2"/>
        <v>https://ec.europa.eu/info/funding-tenders/opportunities/portal/screen/opportunities/topic-details/HORIZON-CL4-2026-SPACE-03-31</v>
      </c>
    </row>
    <row r="200" spans="1:17" ht="66" customHeight="1" thickBot="1" x14ac:dyDescent="0.35">
      <c r="A200" s="37" t="s">
        <v>2773</v>
      </c>
      <c r="B200" s="37" t="s">
        <v>2776</v>
      </c>
      <c r="C200" s="37" t="s">
        <v>2777</v>
      </c>
      <c r="D200" s="4" t="s">
        <v>1490</v>
      </c>
      <c r="E200" s="21" t="s">
        <v>1125</v>
      </c>
      <c r="F200" s="4" t="s">
        <v>1126</v>
      </c>
      <c r="G200" s="4" t="s">
        <v>1127</v>
      </c>
      <c r="H200" s="14"/>
      <c r="I200" s="14" t="s">
        <v>1054</v>
      </c>
      <c r="J200" s="14" t="s">
        <v>1128</v>
      </c>
      <c r="K200" s="13" t="s">
        <v>50</v>
      </c>
      <c r="L200" s="13" t="s">
        <v>12</v>
      </c>
      <c r="M200" s="23">
        <v>46091</v>
      </c>
      <c r="N200" s="24">
        <v>46268</v>
      </c>
      <c r="O200" s="14" t="s">
        <v>1922</v>
      </c>
      <c r="P200" s="14" t="s">
        <v>1923</v>
      </c>
      <c r="Q200" s="42" t="str">
        <f t="shared" si="2"/>
        <v>https://ec.europa.eu/info/funding-tenders/opportunities/portal/screen/opportunities/topic-details/HORIZON-CL4-2026-SPACE-03-32</v>
      </c>
    </row>
    <row r="201" spans="1:17" ht="66" customHeight="1" thickBot="1" x14ac:dyDescent="0.35">
      <c r="A201" s="37" t="s">
        <v>2773</v>
      </c>
      <c r="B201" s="37" t="s">
        <v>2776</v>
      </c>
      <c r="C201" s="37" t="s">
        <v>2777</v>
      </c>
      <c r="D201" s="4" t="s">
        <v>1490</v>
      </c>
      <c r="E201" s="21" t="s">
        <v>1129</v>
      </c>
      <c r="F201" s="4" t="s">
        <v>1130</v>
      </c>
      <c r="G201" s="4" t="s">
        <v>1131</v>
      </c>
      <c r="H201" s="14"/>
      <c r="I201" s="14" t="s">
        <v>852</v>
      </c>
      <c r="J201" s="14" t="s">
        <v>1132</v>
      </c>
      <c r="K201" s="13" t="s">
        <v>11</v>
      </c>
      <c r="L201" s="13" t="s">
        <v>12</v>
      </c>
      <c r="M201" s="23">
        <v>46455</v>
      </c>
      <c r="N201" s="24">
        <v>46632</v>
      </c>
      <c r="O201" s="14" t="s">
        <v>1924</v>
      </c>
      <c r="P201" s="14" t="s">
        <v>1925</v>
      </c>
      <c r="Q201" s="42" t="str">
        <f t="shared" ref="Q201:Q264" si="3">"https://ec.europa.eu/info/funding-tenders/opportunities/portal/screen/opportunities/topic-details/" &amp; E201</f>
        <v>https://ec.europa.eu/info/funding-tenders/opportunities/portal/screen/opportunities/topic-details/HORIZON-CL4-2027-SPACE-03-33</v>
      </c>
    </row>
    <row r="202" spans="1:17" ht="66" customHeight="1" thickBot="1" x14ac:dyDescent="0.35">
      <c r="A202" s="37" t="s">
        <v>2773</v>
      </c>
      <c r="B202" s="37" t="s">
        <v>2776</v>
      </c>
      <c r="C202" s="37" t="s">
        <v>2777</v>
      </c>
      <c r="D202" s="4" t="s">
        <v>1490</v>
      </c>
      <c r="E202" s="21" t="s">
        <v>1133</v>
      </c>
      <c r="F202" s="4" t="s">
        <v>1134</v>
      </c>
      <c r="G202" s="4" t="s">
        <v>1135</v>
      </c>
      <c r="H202" s="14"/>
      <c r="I202" s="14" t="s">
        <v>783</v>
      </c>
      <c r="J202" s="14" t="s">
        <v>1136</v>
      </c>
      <c r="K202" s="13" t="s">
        <v>50</v>
      </c>
      <c r="L202" s="13" t="s">
        <v>12</v>
      </c>
      <c r="M202" s="23">
        <v>46455</v>
      </c>
      <c r="N202" s="24">
        <v>46632</v>
      </c>
      <c r="O202" s="14" t="s">
        <v>1926</v>
      </c>
      <c r="P202" s="14" t="s">
        <v>1927</v>
      </c>
      <c r="Q202" s="42" t="str">
        <f t="shared" si="3"/>
        <v>https://ec.europa.eu/info/funding-tenders/opportunities/portal/screen/opportunities/topic-details/HORIZON-CL4-2027-SPACE-03-34</v>
      </c>
    </row>
    <row r="203" spans="1:17" ht="66" customHeight="1" thickBot="1" x14ac:dyDescent="0.35">
      <c r="A203" s="37" t="s">
        <v>2773</v>
      </c>
      <c r="B203" s="37" t="s">
        <v>2776</v>
      </c>
      <c r="C203" s="37" t="s">
        <v>2777</v>
      </c>
      <c r="D203" s="4" t="s">
        <v>1490</v>
      </c>
      <c r="E203" s="21" t="s">
        <v>1137</v>
      </c>
      <c r="F203" s="4" t="s">
        <v>1138</v>
      </c>
      <c r="G203" s="4" t="s">
        <v>1139</v>
      </c>
      <c r="H203" s="14"/>
      <c r="I203" s="14" t="s">
        <v>1140</v>
      </c>
      <c r="J203" s="14" t="s">
        <v>1141</v>
      </c>
      <c r="K203" s="13" t="s">
        <v>11</v>
      </c>
      <c r="L203" s="13" t="s">
        <v>12</v>
      </c>
      <c r="M203" s="23">
        <v>46091</v>
      </c>
      <c r="N203" s="24">
        <v>46268</v>
      </c>
      <c r="O203" s="14" t="s">
        <v>1928</v>
      </c>
      <c r="P203" s="14" t="s">
        <v>1929</v>
      </c>
      <c r="Q203" s="42" t="str">
        <f t="shared" si="3"/>
        <v>https://ec.europa.eu/info/funding-tenders/opportunities/portal/screen/opportunities/topic-details/HORIZON-CL4-2026-SPACE-03-61</v>
      </c>
    </row>
    <row r="204" spans="1:17" ht="66" customHeight="1" thickBot="1" x14ac:dyDescent="0.35">
      <c r="A204" s="37" t="s">
        <v>2773</v>
      </c>
      <c r="B204" s="37" t="s">
        <v>2776</v>
      </c>
      <c r="C204" s="37" t="s">
        <v>2777</v>
      </c>
      <c r="D204" s="4" t="s">
        <v>1490</v>
      </c>
      <c r="E204" s="21" t="s">
        <v>1142</v>
      </c>
      <c r="F204" s="4" t="s">
        <v>1143</v>
      </c>
      <c r="G204" s="4" t="s">
        <v>1144</v>
      </c>
      <c r="H204" s="14"/>
      <c r="I204" s="14" t="s">
        <v>810</v>
      </c>
      <c r="J204" s="14" t="s">
        <v>1145</v>
      </c>
      <c r="K204" s="13" t="s">
        <v>11</v>
      </c>
      <c r="L204" s="13" t="s">
        <v>12</v>
      </c>
      <c r="M204" s="23">
        <v>46091</v>
      </c>
      <c r="N204" s="24">
        <v>46268</v>
      </c>
      <c r="O204" s="14" t="s">
        <v>1930</v>
      </c>
      <c r="P204" s="14" t="s">
        <v>1931</v>
      </c>
      <c r="Q204" s="42" t="str">
        <f t="shared" si="3"/>
        <v>https://ec.europa.eu/info/funding-tenders/opportunities/portal/screen/opportunities/topic-details/HORIZON-CL4-2026-SPACE-03-81</v>
      </c>
    </row>
    <row r="205" spans="1:17" ht="66" customHeight="1" thickBot="1" x14ac:dyDescent="0.35">
      <c r="A205" s="37" t="s">
        <v>2773</v>
      </c>
      <c r="B205" s="37" t="s">
        <v>2776</v>
      </c>
      <c r="C205" s="37" t="s">
        <v>2777</v>
      </c>
      <c r="D205" s="4" t="s">
        <v>1490</v>
      </c>
      <c r="E205" s="21" t="s">
        <v>1146</v>
      </c>
      <c r="F205" s="4" t="s">
        <v>1147</v>
      </c>
      <c r="G205" s="4" t="s">
        <v>1148</v>
      </c>
      <c r="H205" s="14"/>
      <c r="I205" s="14" t="s">
        <v>1149</v>
      </c>
      <c r="J205" s="14" t="s">
        <v>1150</v>
      </c>
      <c r="K205" s="13" t="s">
        <v>11</v>
      </c>
      <c r="L205" s="13" t="s">
        <v>12</v>
      </c>
      <c r="M205" s="23">
        <v>46091</v>
      </c>
      <c r="N205" s="24">
        <v>46268</v>
      </c>
      <c r="O205" s="14" t="s">
        <v>1932</v>
      </c>
      <c r="P205" s="14" t="s">
        <v>1933</v>
      </c>
      <c r="Q205" s="42" t="str">
        <f t="shared" si="3"/>
        <v>https://ec.europa.eu/info/funding-tenders/opportunities/portal/screen/opportunities/topic-details/HORIZON-CL4-2026-SPACE-03-82</v>
      </c>
    </row>
    <row r="206" spans="1:17" ht="66" customHeight="1" thickBot="1" x14ac:dyDescent="0.35">
      <c r="A206" s="37" t="s">
        <v>2773</v>
      </c>
      <c r="B206" s="37" t="s">
        <v>2776</v>
      </c>
      <c r="C206" s="37" t="s">
        <v>2777</v>
      </c>
      <c r="D206" s="4" t="s">
        <v>1490</v>
      </c>
      <c r="E206" s="21" t="s">
        <v>1151</v>
      </c>
      <c r="F206" s="4" t="s">
        <v>1152</v>
      </c>
      <c r="G206" s="4" t="s">
        <v>1153</v>
      </c>
      <c r="H206" s="14"/>
      <c r="I206" s="14" t="s">
        <v>1154</v>
      </c>
      <c r="J206" s="14" t="s">
        <v>1155</v>
      </c>
      <c r="K206" s="13" t="s">
        <v>50</v>
      </c>
      <c r="L206" s="13" t="s">
        <v>12</v>
      </c>
      <c r="M206" s="23">
        <v>46091</v>
      </c>
      <c r="N206" s="24">
        <v>46268</v>
      </c>
      <c r="O206" s="14" t="s">
        <v>1934</v>
      </c>
      <c r="P206" s="14" t="s">
        <v>1935</v>
      </c>
      <c r="Q206" s="42" t="str">
        <f t="shared" si="3"/>
        <v>https://ec.europa.eu/info/funding-tenders/opportunities/portal/screen/opportunities/topic-details/HORIZON-CL4-2026-SPACE-03-85</v>
      </c>
    </row>
    <row r="207" spans="1:17" ht="66" customHeight="1" thickBot="1" x14ac:dyDescent="0.35">
      <c r="A207" s="37" t="s">
        <v>2773</v>
      </c>
      <c r="B207" s="37" t="s">
        <v>2776</v>
      </c>
      <c r="C207" s="37" t="s">
        <v>2777</v>
      </c>
      <c r="D207" s="4" t="s">
        <v>1490</v>
      </c>
      <c r="E207" s="21" t="s">
        <v>1156</v>
      </c>
      <c r="F207" s="4" t="s">
        <v>1157</v>
      </c>
      <c r="G207" s="4" t="s">
        <v>1158</v>
      </c>
      <c r="H207" s="14"/>
      <c r="I207" s="14" t="s">
        <v>907</v>
      </c>
      <c r="J207" s="14" t="s">
        <v>1159</v>
      </c>
      <c r="K207" s="13" t="s">
        <v>11</v>
      </c>
      <c r="L207" s="13" t="s">
        <v>12</v>
      </c>
      <c r="M207" s="23">
        <v>46091</v>
      </c>
      <c r="N207" s="24">
        <v>46268</v>
      </c>
      <c r="O207" s="14" t="s">
        <v>1936</v>
      </c>
      <c r="P207" s="14" t="s">
        <v>1937</v>
      </c>
      <c r="Q207" s="42" t="str">
        <f t="shared" si="3"/>
        <v>https://ec.europa.eu/info/funding-tenders/opportunities/portal/screen/opportunities/topic-details/HORIZON-CL4-2026-SPACE-03-86</v>
      </c>
    </row>
    <row r="208" spans="1:17" ht="66" customHeight="1" thickBot="1" x14ac:dyDescent="0.35">
      <c r="A208" s="37" t="s">
        <v>2773</v>
      </c>
      <c r="B208" s="37" t="s">
        <v>2776</v>
      </c>
      <c r="C208" s="37" t="s">
        <v>2777</v>
      </c>
      <c r="D208" s="4" t="s">
        <v>1490</v>
      </c>
      <c r="E208" s="21" t="s">
        <v>1160</v>
      </c>
      <c r="F208" s="4" t="s">
        <v>1161</v>
      </c>
      <c r="G208" s="4" t="s">
        <v>1162</v>
      </c>
      <c r="H208" s="14"/>
      <c r="I208" s="14" t="s">
        <v>1076</v>
      </c>
      <c r="J208" s="14" t="s">
        <v>1163</v>
      </c>
      <c r="K208" s="13" t="s">
        <v>11</v>
      </c>
      <c r="L208" s="13" t="s">
        <v>12</v>
      </c>
      <c r="M208" s="23">
        <v>46455</v>
      </c>
      <c r="N208" s="24">
        <v>46632</v>
      </c>
      <c r="O208" s="14" t="s">
        <v>1938</v>
      </c>
      <c r="P208" s="14" t="s">
        <v>1939</v>
      </c>
      <c r="Q208" s="42" t="str">
        <f t="shared" si="3"/>
        <v>https://ec.europa.eu/info/funding-tenders/opportunities/portal/screen/opportunities/topic-details/HORIZON-CL4-2027-SPACE-03-83</v>
      </c>
    </row>
    <row r="209" spans="1:17" ht="66" customHeight="1" thickBot="1" x14ac:dyDescent="0.35">
      <c r="A209" s="37" t="s">
        <v>2773</v>
      </c>
      <c r="B209" s="37" t="s">
        <v>2776</v>
      </c>
      <c r="C209" s="37" t="s">
        <v>2777</v>
      </c>
      <c r="D209" s="4" t="s">
        <v>1490</v>
      </c>
      <c r="E209" s="21" t="s">
        <v>1164</v>
      </c>
      <c r="F209" s="4" t="s">
        <v>1165</v>
      </c>
      <c r="G209" s="4" t="s">
        <v>1166</v>
      </c>
      <c r="H209" s="14"/>
      <c r="I209" s="14" t="s">
        <v>907</v>
      </c>
      <c r="J209" s="14" t="s">
        <v>1167</v>
      </c>
      <c r="K209" s="13" t="s">
        <v>11</v>
      </c>
      <c r="L209" s="13" t="s">
        <v>12</v>
      </c>
      <c r="M209" s="23">
        <v>46455</v>
      </c>
      <c r="N209" s="24">
        <v>46632</v>
      </c>
      <c r="O209" s="14" t="s">
        <v>1940</v>
      </c>
      <c r="P209" s="14" t="s">
        <v>1941</v>
      </c>
      <c r="Q209" s="42" t="str">
        <f t="shared" si="3"/>
        <v>https://ec.europa.eu/info/funding-tenders/opportunities/portal/screen/opportunities/topic-details/HORIZON-CL4-2027-SPACE-03-84</v>
      </c>
    </row>
    <row r="210" spans="1:17" ht="66" customHeight="1" thickBot="1" x14ac:dyDescent="0.35">
      <c r="A210" s="37" t="s">
        <v>2773</v>
      </c>
      <c r="B210" s="37" t="s">
        <v>2776</v>
      </c>
      <c r="C210" s="37" t="s">
        <v>2777</v>
      </c>
      <c r="D210" s="4" t="s">
        <v>1490</v>
      </c>
      <c r="E210" s="21" t="s">
        <v>1168</v>
      </c>
      <c r="F210" s="4" t="s">
        <v>1169</v>
      </c>
      <c r="G210" s="4" t="s">
        <v>1170</v>
      </c>
      <c r="H210" s="14"/>
      <c r="I210" s="14" t="s">
        <v>1171</v>
      </c>
      <c r="J210" s="14" t="s">
        <v>1172</v>
      </c>
      <c r="K210" s="13" t="s">
        <v>11</v>
      </c>
      <c r="L210" s="13" t="s">
        <v>12</v>
      </c>
      <c r="M210" s="23">
        <v>46455</v>
      </c>
      <c r="N210" s="24">
        <v>46632</v>
      </c>
      <c r="O210" s="14" t="s">
        <v>1942</v>
      </c>
      <c r="P210" s="14" t="s">
        <v>1943</v>
      </c>
      <c r="Q210" s="42" t="str">
        <f t="shared" si="3"/>
        <v>https://ec.europa.eu/info/funding-tenders/opportunities/portal/screen/opportunities/topic-details/HORIZON-CL4-2027-SPACE-03-71</v>
      </c>
    </row>
    <row r="211" spans="1:17" ht="66" customHeight="1" thickBot="1" x14ac:dyDescent="0.35">
      <c r="A211" s="37" t="s">
        <v>2773</v>
      </c>
      <c r="B211" s="37" t="s">
        <v>2776</v>
      </c>
      <c r="C211" s="37" t="s">
        <v>2777</v>
      </c>
      <c r="D211" s="4" t="s">
        <v>1490</v>
      </c>
      <c r="E211" s="21" t="s">
        <v>1173</v>
      </c>
      <c r="F211" s="4" t="s">
        <v>1174</v>
      </c>
      <c r="G211" s="4" t="s">
        <v>1175</v>
      </c>
      <c r="H211" s="14"/>
      <c r="I211" s="14" t="s">
        <v>794</v>
      </c>
      <c r="J211" s="14" t="s">
        <v>1187</v>
      </c>
      <c r="K211" s="13" t="s">
        <v>50</v>
      </c>
      <c r="L211" s="13" t="s">
        <v>12</v>
      </c>
      <c r="M211" s="23">
        <v>46037</v>
      </c>
      <c r="N211" s="24">
        <v>46127</v>
      </c>
      <c r="O211" s="14" t="s">
        <v>1944</v>
      </c>
      <c r="P211" s="14" t="s">
        <v>1945</v>
      </c>
      <c r="Q211" s="42" t="str">
        <f t="shared" si="3"/>
        <v>https://ec.europa.eu/info/funding-tenders/opportunities/portal/screen/opportunities/topic-details/HORIZON-CL4-2026-04-HUMAN-01</v>
      </c>
    </row>
    <row r="212" spans="1:17" ht="66" customHeight="1" thickBot="1" x14ac:dyDescent="0.35">
      <c r="A212" s="37" t="s">
        <v>2773</v>
      </c>
      <c r="B212" s="37" t="s">
        <v>2776</v>
      </c>
      <c r="C212" s="37" t="s">
        <v>2777</v>
      </c>
      <c r="D212" s="4" t="s">
        <v>1490</v>
      </c>
      <c r="E212" s="21" t="s">
        <v>1176</v>
      </c>
      <c r="F212" s="4" t="s">
        <v>1177</v>
      </c>
      <c r="G212" s="4" t="s">
        <v>1178</v>
      </c>
      <c r="H212" s="14"/>
      <c r="I212" s="14" t="s">
        <v>508</v>
      </c>
      <c r="J212" s="14" t="s">
        <v>1188</v>
      </c>
      <c r="K212" s="13" t="s">
        <v>11</v>
      </c>
      <c r="L212" s="13" t="s">
        <v>12</v>
      </c>
      <c r="M212" s="23">
        <v>46037</v>
      </c>
      <c r="N212" s="24">
        <v>46127</v>
      </c>
      <c r="O212" s="14" t="s">
        <v>1946</v>
      </c>
      <c r="P212" s="14" t="s">
        <v>1947</v>
      </c>
      <c r="Q212" s="42" t="str">
        <f t="shared" si="3"/>
        <v>https://ec.europa.eu/info/funding-tenders/opportunities/portal/screen/opportunities/topic-details/HORIZON-CL4-2026-04-HUMAN-02</v>
      </c>
    </row>
    <row r="213" spans="1:17" ht="66" customHeight="1" thickBot="1" x14ac:dyDescent="0.35">
      <c r="A213" s="37" t="s">
        <v>2773</v>
      </c>
      <c r="B213" s="37" t="s">
        <v>2776</v>
      </c>
      <c r="C213" s="37" t="s">
        <v>2777</v>
      </c>
      <c r="D213" s="4" t="s">
        <v>1490</v>
      </c>
      <c r="E213" s="21" t="s">
        <v>1179</v>
      </c>
      <c r="F213" s="4" t="s">
        <v>1180</v>
      </c>
      <c r="G213" s="4" t="s">
        <v>1181</v>
      </c>
      <c r="H213" s="14" t="s">
        <v>2432</v>
      </c>
      <c r="I213" s="14" t="s">
        <v>852</v>
      </c>
      <c r="J213" s="14" t="s">
        <v>1189</v>
      </c>
      <c r="K213" s="13" t="s">
        <v>11</v>
      </c>
      <c r="L213" s="13" t="s">
        <v>12</v>
      </c>
      <c r="M213" s="23">
        <v>46343</v>
      </c>
      <c r="N213" s="24">
        <v>46464</v>
      </c>
      <c r="O213" s="14" t="s">
        <v>1948</v>
      </c>
      <c r="P213" s="14" t="s">
        <v>1949</v>
      </c>
      <c r="Q213" s="42" t="str">
        <f t="shared" si="3"/>
        <v>https://ec.europa.eu/info/funding-tenders/opportunities/portal/screen/opportunities/topic-details/HORIZON-CL4-2027-04-HUMAN-01</v>
      </c>
    </row>
    <row r="214" spans="1:17" ht="66" customHeight="1" thickBot="1" x14ac:dyDescent="0.35">
      <c r="A214" s="37" t="s">
        <v>2773</v>
      </c>
      <c r="B214" s="37" t="s">
        <v>2776</v>
      </c>
      <c r="C214" s="37" t="s">
        <v>2777</v>
      </c>
      <c r="D214" s="4" t="s">
        <v>1490</v>
      </c>
      <c r="E214" s="21" t="s">
        <v>1182</v>
      </c>
      <c r="F214" s="4" t="s">
        <v>1183</v>
      </c>
      <c r="G214" s="4" t="s">
        <v>1184</v>
      </c>
      <c r="H214" s="14" t="s">
        <v>2433</v>
      </c>
      <c r="I214" s="14" t="s">
        <v>677</v>
      </c>
      <c r="J214" s="14" t="s">
        <v>1190</v>
      </c>
      <c r="K214" s="13" t="s">
        <v>16</v>
      </c>
      <c r="L214" s="13" t="s">
        <v>12</v>
      </c>
      <c r="M214" s="23">
        <v>46343</v>
      </c>
      <c r="N214" s="24">
        <v>46464</v>
      </c>
      <c r="O214" s="14" t="s">
        <v>1950</v>
      </c>
      <c r="P214" s="14" t="s">
        <v>1951</v>
      </c>
      <c r="Q214" s="42" t="str">
        <f t="shared" si="3"/>
        <v>https://ec.europa.eu/info/funding-tenders/opportunities/portal/screen/opportunities/topic-details/HORIZON-CL4-2027-04-HUMAN-02</v>
      </c>
    </row>
    <row r="215" spans="1:17" ht="66" customHeight="1" thickBot="1" x14ac:dyDescent="0.35">
      <c r="A215" s="37" t="s">
        <v>2773</v>
      </c>
      <c r="B215" s="37" t="s">
        <v>2776</v>
      </c>
      <c r="C215" s="37" t="s">
        <v>2777</v>
      </c>
      <c r="D215" s="4" t="s">
        <v>1490</v>
      </c>
      <c r="E215" s="21" t="s">
        <v>1185</v>
      </c>
      <c r="F215" s="4" t="s">
        <v>1186</v>
      </c>
      <c r="G215" s="4" t="s">
        <v>2570</v>
      </c>
      <c r="H215" s="14" t="s">
        <v>2434</v>
      </c>
      <c r="I215" s="14" t="s">
        <v>677</v>
      </c>
      <c r="J215" s="14" t="s">
        <v>1191</v>
      </c>
      <c r="K215" s="13" t="s">
        <v>16</v>
      </c>
      <c r="L215" s="13" t="s">
        <v>12</v>
      </c>
      <c r="M215" s="23">
        <v>46343</v>
      </c>
      <c r="N215" s="24">
        <v>46464</v>
      </c>
      <c r="O215" s="14" t="s">
        <v>1952</v>
      </c>
      <c r="P215" s="14" t="s">
        <v>1953</v>
      </c>
      <c r="Q215" s="42" t="str">
        <f t="shared" si="3"/>
        <v>https://ec.europa.eu/info/funding-tenders/opportunities/portal/screen/opportunities/topic-details/HORIZON-CL4-2027-04-HUMAN-07</v>
      </c>
    </row>
    <row r="216" spans="1:17" ht="66" customHeight="1" thickBot="1" x14ac:dyDescent="0.35">
      <c r="A216" s="37" t="s">
        <v>2773</v>
      </c>
      <c r="B216" s="37" t="s">
        <v>2776</v>
      </c>
      <c r="C216" s="37" t="s">
        <v>2777</v>
      </c>
      <c r="D216" s="4" t="s">
        <v>1491</v>
      </c>
      <c r="E216" s="21" t="s">
        <v>1192</v>
      </c>
      <c r="F216" s="4" t="s">
        <v>1193</v>
      </c>
      <c r="G216" s="4" t="s">
        <v>2571</v>
      </c>
      <c r="H216" s="14"/>
      <c r="I216" s="14" t="s">
        <v>189</v>
      </c>
      <c r="J216" s="14" t="s">
        <v>1194</v>
      </c>
      <c r="K216" s="13" t="s">
        <v>11</v>
      </c>
      <c r="L216" s="13" t="s">
        <v>12</v>
      </c>
      <c r="M216" s="23">
        <v>46009</v>
      </c>
      <c r="N216" s="24">
        <v>46127</v>
      </c>
      <c r="O216" s="14" t="s">
        <v>1954</v>
      </c>
      <c r="P216" s="14" t="s">
        <v>1955</v>
      </c>
      <c r="Q216" s="42" t="str">
        <f t="shared" si="3"/>
        <v>https://ec.europa.eu/info/funding-tenders/opportunities/portal/screen/opportunities/topic-details/HORIZON-CL5-2026-07-D1-01</v>
      </c>
    </row>
    <row r="217" spans="1:17" ht="66" customHeight="1" thickBot="1" x14ac:dyDescent="0.35">
      <c r="A217" s="37" t="s">
        <v>2773</v>
      </c>
      <c r="B217" s="37" t="s">
        <v>2776</v>
      </c>
      <c r="C217" s="37" t="s">
        <v>2777</v>
      </c>
      <c r="D217" s="4" t="s">
        <v>1491</v>
      </c>
      <c r="E217" s="21" t="s">
        <v>1195</v>
      </c>
      <c r="F217" s="4" t="s">
        <v>1196</v>
      </c>
      <c r="G217" s="4" t="s">
        <v>2572</v>
      </c>
      <c r="H217" s="14"/>
      <c r="I217" s="14" t="s">
        <v>201</v>
      </c>
      <c r="J217" s="14" t="s">
        <v>1197</v>
      </c>
      <c r="K217" s="13" t="s">
        <v>11</v>
      </c>
      <c r="L217" s="13" t="s">
        <v>12</v>
      </c>
      <c r="M217" s="23">
        <v>46009</v>
      </c>
      <c r="N217" s="24">
        <v>46127</v>
      </c>
      <c r="O217" s="14" t="s">
        <v>1956</v>
      </c>
      <c r="P217" s="14" t="s">
        <v>1957</v>
      </c>
      <c r="Q217" s="42" t="str">
        <f t="shared" si="3"/>
        <v>https://ec.europa.eu/info/funding-tenders/opportunities/portal/screen/opportunities/topic-details/HORIZON-CL5-2026-07-D1-02</v>
      </c>
    </row>
    <row r="218" spans="1:17" ht="66" customHeight="1" thickBot="1" x14ac:dyDescent="0.35">
      <c r="A218" s="37" t="s">
        <v>2773</v>
      </c>
      <c r="B218" s="37" t="s">
        <v>2776</v>
      </c>
      <c r="C218" s="37" t="s">
        <v>2777</v>
      </c>
      <c r="D218" s="4" t="s">
        <v>1491</v>
      </c>
      <c r="E218" s="21" t="s">
        <v>1198</v>
      </c>
      <c r="F218" s="4" t="s">
        <v>1199</v>
      </c>
      <c r="G218" s="4" t="s">
        <v>2573</v>
      </c>
      <c r="H218" s="14" t="s">
        <v>2435</v>
      </c>
      <c r="I218" s="14" t="s">
        <v>239</v>
      </c>
      <c r="J218" s="14" t="s">
        <v>1200</v>
      </c>
      <c r="K218" s="13" t="s">
        <v>11</v>
      </c>
      <c r="L218" s="13" t="s">
        <v>12</v>
      </c>
      <c r="M218" s="23">
        <v>46009</v>
      </c>
      <c r="N218" s="24">
        <v>46127</v>
      </c>
      <c r="O218" s="14" t="s">
        <v>1958</v>
      </c>
      <c r="P218" s="14" t="s">
        <v>1959</v>
      </c>
      <c r="Q218" s="42" t="str">
        <f t="shared" si="3"/>
        <v>https://ec.europa.eu/info/funding-tenders/opportunities/portal/screen/opportunities/topic-details/HORIZON-CL5-2026-07-D1-03</v>
      </c>
    </row>
    <row r="219" spans="1:17" ht="66" customHeight="1" thickBot="1" x14ac:dyDescent="0.35">
      <c r="A219" s="37" t="s">
        <v>2773</v>
      </c>
      <c r="B219" s="37" t="s">
        <v>2776</v>
      </c>
      <c r="C219" s="37" t="s">
        <v>2777</v>
      </c>
      <c r="D219" s="4" t="s">
        <v>1491</v>
      </c>
      <c r="E219" s="21" t="s">
        <v>1201</v>
      </c>
      <c r="F219" s="4" t="s">
        <v>1202</v>
      </c>
      <c r="G219" s="4" t="s">
        <v>2574</v>
      </c>
      <c r="H219" s="14" t="s">
        <v>2436</v>
      </c>
      <c r="I219" s="14" t="s">
        <v>382</v>
      </c>
      <c r="J219" s="14" t="s">
        <v>1203</v>
      </c>
      <c r="K219" s="13" t="s">
        <v>11</v>
      </c>
      <c r="L219" s="13" t="s">
        <v>12</v>
      </c>
      <c r="M219" s="23">
        <v>46009</v>
      </c>
      <c r="N219" s="24">
        <v>46127</v>
      </c>
      <c r="O219" s="14" t="s">
        <v>1960</v>
      </c>
      <c r="P219" s="14" t="s">
        <v>1961</v>
      </c>
      <c r="Q219" s="42" t="str">
        <f t="shared" si="3"/>
        <v>https://ec.europa.eu/info/funding-tenders/opportunities/portal/screen/opportunities/topic-details/HORIZON-CL5-2026-07-D1-04</v>
      </c>
    </row>
    <row r="220" spans="1:17" ht="66" customHeight="1" thickBot="1" x14ac:dyDescent="0.35">
      <c r="A220" s="37" t="s">
        <v>2773</v>
      </c>
      <c r="B220" s="37" t="s">
        <v>2776</v>
      </c>
      <c r="C220" s="37" t="s">
        <v>2777</v>
      </c>
      <c r="D220" s="4" t="s">
        <v>1491</v>
      </c>
      <c r="E220" s="21" t="s">
        <v>1204</v>
      </c>
      <c r="F220" s="4" t="s">
        <v>1205</v>
      </c>
      <c r="G220" s="4" t="s">
        <v>2575</v>
      </c>
      <c r="H220" s="14"/>
      <c r="I220" s="14" t="s">
        <v>189</v>
      </c>
      <c r="J220" s="14" t="s">
        <v>1206</v>
      </c>
      <c r="K220" s="13" t="s">
        <v>11</v>
      </c>
      <c r="L220" s="13" t="s">
        <v>12</v>
      </c>
      <c r="M220" s="23">
        <v>46009</v>
      </c>
      <c r="N220" s="24">
        <v>46127</v>
      </c>
      <c r="O220" s="14" t="s">
        <v>1962</v>
      </c>
      <c r="P220" s="14" t="s">
        <v>1963</v>
      </c>
      <c r="Q220" s="42" t="str">
        <f t="shared" si="3"/>
        <v>https://ec.europa.eu/info/funding-tenders/opportunities/portal/screen/opportunities/topic-details/HORIZON-CL5-2026-07-D1-05</v>
      </c>
    </row>
    <row r="221" spans="1:17" ht="66" customHeight="1" thickBot="1" x14ac:dyDescent="0.35">
      <c r="A221" s="37" t="s">
        <v>2773</v>
      </c>
      <c r="B221" s="37" t="s">
        <v>2776</v>
      </c>
      <c r="C221" s="37" t="s">
        <v>2777</v>
      </c>
      <c r="D221" s="4" t="s">
        <v>1491</v>
      </c>
      <c r="E221" s="21" t="s">
        <v>1207</v>
      </c>
      <c r="F221" s="4" t="s">
        <v>1208</v>
      </c>
      <c r="G221" s="4" t="s">
        <v>2576</v>
      </c>
      <c r="H221" s="14"/>
      <c r="I221" s="14" t="s">
        <v>189</v>
      </c>
      <c r="J221" s="14" t="s">
        <v>1209</v>
      </c>
      <c r="K221" s="13" t="s">
        <v>11</v>
      </c>
      <c r="L221" s="13" t="s">
        <v>35</v>
      </c>
      <c r="M221" s="23">
        <v>46009</v>
      </c>
      <c r="N221" s="24" t="s">
        <v>1210</v>
      </c>
      <c r="O221" s="14" t="s">
        <v>1964</v>
      </c>
      <c r="P221" s="14" t="s">
        <v>1965</v>
      </c>
      <c r="Q221" s="42" t="str">
        <f t="shared" si="3"/>
        <v>https://ec.europa.eu/info/funding-tenders/opportunities/portal/screen/opportunities/topic-details/HORIZON-CL5-2026-08-Two-Stage-D1-06</v>
      </c>
    </row>
    <row r="222" spans="1:17" ht="66" customHeight="1" thickBot="1" x14ac:dyDescent="0.35">
      <c r="A222" s="37" t="s">
        <v>2773</v>
      </c>
      <c r="B222" s="37" t="s">
        <v>2776</v>
      </c>
      <c r="C222" s="37" t="s">
        <v>2777</v>
      </c>
      <c r="D222" s="4" t="s">
        <v>1491</v>
      </c>
      <c r="E222" s="21" t="s">
        <v>1211</v>
      </c>
      <c r="F222" s="4" t="s">
        <v>1212</v>
      </c>
      <c r="G222" s="4" t="s">
        <v>2577</v>
      </c>
      <c r="H222" s="14"/>
      <c r="I222" s="14" t="s">
        <v>189</v>
      </c>
      <c r="J222" s="14" t="s">
        <v>1213</v>
      </c>
      <c r="K222" s="13" t="s">
        <v>11</v>
      </c>
      <c r="L222" s="13" t="s">
        <v>12</v>
      </c>
      <c r="M222" s="23">
        <v>46343</v>
      </c>
      <c r="N222" s="24">
        <v>46450</v>
      </c>
      <c r="O222" s="14" t="s">
        <v>1966</v>
      </c>
      <c r="P222" s="14" t="s">
        <v>1967</v>
      </c>
      <c r="Q222" s="42" t="str">
        <f t="shared" si="3"/>
        <v>https://ec.europa.eu/info/funding-tenders/opportunities/portal/screen/opportunities/topic-details/HORIZON-CL5-2027-01-D1-07</v>
      </c>
    </row>
    <row r="223" spans="1:17" ht="66" customHeight="1" thickBot="1" x14ac:dyDescent="0.35">
      <c r="A223" s="37" t="s">
        <v>2773</v>
      </c>
      <c r="B223" s="37" t="s">
        <v>2776</v>
      </c>
      <c r="C223" s="37" t="s">
        <v>2777</v>
      </c>
      <c r="D223" s="4" t="s">
        <v>1491</v>
      </c>
      <c r="E223" s="21" t="s">
        <v>1214</v>
      </c>
      <c r="F223" s="4" t="s">
        <v>1215</v>
      </c>
      <c r="G223" s="4" t="s">
        <v>2578</v>
      </c>
      <c r="H223" s="14"/>
      <c r="I223" s="14" t="s">
        <v>189</v>
      </c>
      <c r="J223" s="14" t="s">
        <v>1216</v>
      </c>
      <c r="K223" s="13" t="s">
        <v>11</v>
      </c>
      <c r="L223" s="13" t="s">
        <v>12</v>
      </c>
      <c r="M223" s="23">
        <v>46343</v>
      </c>
      <c r="N223" s="24">
        <v>46450</v>
      </c>
      <c r="O223" s="14" t="s">
        <v>1968</v>
      </c>
      <c r="P223" s="14" t="s">
        <v>1969</v>
      </c>
      <c r="Q223" s="42" t="str">
        <f t="shared" si="3"/>
        <v>https://ec.europa.eu/info/funding-tenders/opportunities/portal/screen/opportunities/topic-details/HORIZON-CL5-2027-01-D1-08</v>
      </c>
    </row>
    <row r="224" spans="1:17" ht="66" customHeight="1" thickBot="1" x14ac:dyDescent="0.35">
      <c r="A224" s="37" t="s">
        <v>2773</v>
      </c>
      <c r="B224" s="37" t="s">
        <v>2776</v>
      </c>
      <c r="C224" s="37" t="s">
        <v>2777</v>
      </c>
      <c r="D224" s="4" t="s">
        <v>1491</v>
      </c>
      <c r="E224" s="21" t="s">
        <v>1217</v>
      </c>
      <c r="F224" s="4" t="s">
        <v>1218</v>
      </c>
      <c r="G224" s="4" t="s">
        <v>2579</v>
      </c>
      <c r="H224" s="14" t="s">
        <v>2437</v>
      </c>
      <c r="I224" s="14" t="s">
        <v>243</v>
      </c>
      <c r="J224" s="14" t="s">
        <v>1219</v>
      </c>
      <c r="K224" s="13" t="s">
        <v>11</v>
      </c>
      <c r="L224" s="13" t="s">
        <v>12</v>
      </c>
      <c r="M224" s="23">
        <v>46343</v>
      </c>
      <c r="N224" s="24">
        <v>46450</v>
      </c>
      <c r="O224" s="14" t="s">
        <v>1970</v>
      </c>
      <c r="P224" s="14" t="s">
        <v>1971</v>
      </c>
      <c r="Q224" s="42" t="str">
        <f t="shared" si="3"/>
        <v>https://ec.europa.eu/info/funding-tenders/opportunities/portal/screen/opportunities/topic-details/HORIZON-CL5-2027-01-D1-09</v>
      </c>
    </row>
    <row r="225" spans="1:17" ht="66" customHeight="1" thickBot="1" x14ac:dyDescent="0.35">
      <c r="A225" s="37" t="s">
        <v>2773</v>
      </c>
      <c r="B225" s="37" t="s">
        <v>2776</v>
      </c>
      <c r="C225" s="37" t="s">
        <v>2777</v>
      </c>
      <c r="D225" s="4" t="s">
        <v>1491</v>
      </c>
      <c r="E225" s="21" t="s">
        <v>1220</v>
      </c>
      <c r="F225" s="4" t="s">
        <v>1221</v>
      </c>
      <c r="G225" s="4" t="s">
        <v>2580</v>
      </c>
      <c r="H225" s="14" t="s">
        <v>2438</v>
      </c>
      <c r="I225" s="14" t="s">
        <v>1222</v>
      </c>
      <c r="J225" s="14" t="s">
        <v>1223</v>
      </c>
      <c r="K225" s="13" t="s">
        <v>11</v>
      </c>
      <c r="L225" s="13" t="s">
        <v>12</v>
      </c>
      <c r="M225" s="23">
        <v>46343</v>
      </c>
      <c r="N225" s="24">
        <v>46450</v>
      </c>
      <c r="O225" s="14" t="s">
        <v>1972</v>
      </c>
      <c r="P225" s="14" t="s">
        <v>1973</v>
      </c>
      <c r="Q225" s="42" t="str">
        <f t="shared" si="3"/>
        <v>https://ec.europa.eu/info/funding-tenders/opportunities/portal/screen/opportunities/topic-details/HORIZON-CL5-2027-01-D1-10</v>
      </c>
    </row>
    <row r="226" spans="1:17" ht="66" customHeight="1" thickBot="1" x14ac:dyDescent="0.35">
      <c r="A226" s="37" t="s">
        <v>2773</v>
      </c>
      <c r="B226" s="37" t="s">
        <v>2776</v>
      </c>
      <c r="C226" s="37" t="s">
        <v>2777</v>
      </c>
      <c r="D226" s="4" t="s">
        <v>1491</v>
      </c>
      <c r="E226" s="21" t="s">
        <v>1224</v>
      </c>
      <c r="F226" s="4" t="s">
        <v>1225</v>
      </c>
      <c r="G226" s="4" t="s">
        <v>2581</v>
      </c>
      <c r="H226" s="14"/>
      <c r="I226" s="14" t="s">
        <v>220</v>
      </c>
      <c r="J226" s="14" t="s">
        <v>1226</v>
      </c>
      <c r="K226" s="13" t="s">
        <v>1227</v>
      </c>
      <c r="L226" s="13" t="s">
        <v>12</v>
      </c>
      <c r="M226" s="23">
        <v>46343</v>
      </c>
      <c r="N226" s="24">
        <v>46450</v>
      </c>
      <c r="O226" s="14" t="s">
        <v>1974</v>
      </c>
      <c r="P226" s="14" t="s">
        <v>1975</v>
      </c>
      <c r="Q226" s="42" t="str">
        <f t="shared" si="3"/>
        <v>https://ec.europa.eu/info/funding-tenders/opportunities/portal/screen/opportunities/topic-details/HORIZON-CL5-2027-01-D1-11</v>
      </c>
    </row>
    <row r="227" spans="1:17" ht="66" customHeight="1" thickBot="1" x14ac:dyDescent="0.35">
      <c r="A227" s="37" t="s">
        <v>2773</v>
      </c>
      <c r="B227" s="37" t="s">
        <v>2776</v>
      </c>
      <c r="C227" s="37" t="s">
        <v>2777</v>
      </c>
      <c r="D227" s="4" t="s">
        <v>1491</v>
      </c>
      <c r="E227" s="21" t="s">
        <v>1228</v>
      </c>
      <c r="F227" s="4" t="s">
        <v>1229</v>
      </c>
      <c r="G227" s="4" t="s">
        <v>2582</v>
      </c>
      <c r="H227" s="14"/>
      <c r="I227" s="14" t="s">
        <v>189</v>
      </c>
      <c r="J227" s="14" t="s">
        <v>1230</v>
      </c>
      <c r="K227" s="13" t="s">
        <v>11</v>
      </c>
      <c r="L227" s="13" t="s">
        <v>12</v>
      </c>
      <c r="M227" s="23">
        <v>46343</v>
      </c>
      <c r="N227" s="24">
        <v>46450</v>
      </c>
      <c r="O227" s="14" t="s">
        <v>1976</v>
      </c>
      <c r="P227" s="14" t="s">
        <v>1977</v>
      </c>
      <c r="Q227" s="42" t="str">
        <f t="shared" si="3"/>
        <v>https://ec.europa.eu/info/funding-tenders/opportunities/portal/screen/opportunities/topic-details/HORIZON-CL5-2027-01-D1-12</v>
      </c>
    </row>
    <row r="228" spans="1:17" ht="66" customHeight="1" thickBot="1" x14ac:dyDescent="0.35">
      <c r="A228" s="37" t="s">
        <v>2773</v>
      </c>
      <c r="B228" s="37" t="s">
        <v>2776</v>
      </c>
      <c r="C228" s="37" t="s">
        <v>2777</v>
      </c>
      <c r="D228" s="4" t="s">
        <v>1491</v>
      </c>
      <c r="E228" s="21" t="s">
        <v>1231</v>
      </c>
      <c r="F228" s="4" t="s">
        <v>1232</v>
      </c>
      <c r="G228" s="4" t="s">
        <v>2583</v>
      </c>
      <c r="H228" s="14" t="s">
        <v>2414</v>
      </c>
      <c r="I228" s="14" t="s">
        <v>220</v>
      </c>
      <c r="J228" s="14" t="s">
        <v>1233</v>
      </c>
      <c r="K228" s="13" t="s">
        <v>11</v>
      </c>
      <c r="L228" s="13" t="s">
        <v>12</v>
      </c>
      <c r="M228" s="23">
        <v>46343</v>
      </c>
      <c r="N228" s="24">
        <v>46450</v>
      </c>
      <c r="O228" s="14" t="s">
        <v>1978</v>
      </c>
      <c r="P228" s="14" t="s">
        <v>1979</v>
      </c>
      <c r="Q228" s="42" t="str">
        <f t="shared" si="3"/>
        <v>https://ec.europa.eu/info/funding-tenders/opportunities/portal/screen/opportunities/topic-details/HORIZON-CL5-2027-01-D1-13</v>
      </c>
    </row>
    <row r="229" spans="1:17" ht="66" customHeight="1" thickBot="1" x14ac:dyDescent="0.35">
      <c r="A229" s="37" t="s">
        <v>2773</v>
      </c>
      <c r="B229" s="37" t="s">
        <v>2776</v>
      </c>
      <c r="C229" s="37" t="s">
        <v>2777</v>
      </c>
      <c r="D229" s="4" t="s">
        <v>1491</v>
      </c>
      <c r="E229" s="21" t="s">
        <v>1234</v>
      </c>
      <c r="F229" s="4" t="s">
        <v>1235</v>
      </c>
      <c r="G229" s="4" t="s">
        <v>2584</v>
      </c>
      <c r="H229" s="14"/>
      <c r="I229" s="14" t="s">
        <v>1236</v>
      </c>
      <c r="J229" s="14" t="s">
        <v>1237</v>
      </c>
      <c r="K229" s="13" t="s">
        <v>11</v>
      </c>
      <c r="L229" s="13" t="s">
        <v>12</v>
      </c>
      <c r="M229" s="23">
        <v>46147</v>
      </c>
      <c r="N229" s="24">
        <v>46280</v>
      </c>
      <c r="O229" s="14" t="s">
        <v>1980</v>
      </c>
      <c r="P229" s="14" t="s">
        <v>1981</v>
      </c>
      <c r="Q229" s="42" t="str">
        <f t="shared" si="3"/>
        <v>https://ec.europa.eu/info/funding-tenders/opportunities/portal/screen/opportunities/topic-details/HORIZON-CL5-2026-09-D2-01</v>
      </c>
    </row>
    <row r="230" spans="1:17" ht="66" customHeight="1" thickBot="1" x14ac:dyDescent="0.35">
      <c r="A230" s="37" t="s">
        <v>2773</v>
      </c>
      <c r="B230" s="37" t="s">
        <v>2776</v>
      </c>
      <c r="C230" s="37" t="s">
        <v>2777</v>
      </c>
      <c r="D230" s="4" t="s">
        <v>1491</v>
      </c>
      <c r="E230" s="21" t="s">
        <v>1238</v>
      </c>
      <c r="F230" s="4" t="s">
        <v>1239</v>
      </c>
      <c r="G230" s="4" t="s">
        <v>2585</v>
      </c>
      <c r="H230" s="14"/>
      <c r="I230" s="14" t="s">
        <v>357</v>
      </c>
      <c r="J230" s="14" t="s">
        <v>1240</v>
      </c>
      <c r="K230" s="13" t="s">
        <v>11</v>
      </c>
      <c r="L230" s="13" t="s">
        <v>12</v>
      </c>
      <c r="M230" s="23">
        <v>46009</v>
      </c>
      <c r="N230" s="24">
        <v>46112</v>
      </c>
      <c r="O230" s="14" t="s">
        <v>1982</v>
      </c>
      <c r="P230" s="14" t="s">
        <v>1983</v>
      </c>
      <c r="Q230" s="42" t="str">
        <f t="shared" si="3"/>
        <v>https://ec.europa.eu/info/funding-tenders/opportunities/portal/screen/opportunities/topic-details/HORIZON-CL5-2026-03-D2-02</v>
      </c>
    </row>
    <row r="231" spans="1:17" ht="66" customHeight="1" thickBot="1" x14ac:dyDescent="0.35">
      <c r="A231" s="37" t="s">
        <v>2773</v>
      </c>
      <c r="B231" s="37" t="s">
        <v>2776</v>
      </c>
      <c r="C231" s="37" t="s">
        <v>2777</v>
      </c>
      <c r="D231" s="4" t="s">
        <v>1491</v>
      </c>
      <c r="E231" s="21" t="s">
        <v>1241</v>
      </c>
      <c r="F231" s="4" t="s">
        <v>1242</v>
      </c>
      <c r="G231" s="4" t="s">
        <v>2586</v>
      </c>
      <c r="H231" s="14"/>
      <c r="I231" s="14" t="s">
        <v>350</v>
      </c>
      <c r="J231" s="14" t="s">
        <v>1243</v>
      </c>
      <c r="K231" s="13" t="s">
        <v>50</v>
      </c>
      <c r="L231" s="13" t="s">
        <v>12</v>
      </c>
      <c r="M231" s="23">
        <v>46177</v>
      </c>
      <c r="N231" s="24">
        <v>46303</v>
      </c>
      <c r="O231" s="14" t="s">
        <v>1984</v>
      </c>
      <c r="P231" s="14" t="s">
        <v>1985</v>
      </c>
      <c r="Q231" s="42" t="str">
        <f t="shared" si="3"/>
        <v>https://ec.europa.eu/info/funding-tenders/opportunities/portal/screen/opportunities/topic-details/HORIZON-CL5-2026-10-D2-03</v>
      </c>
    </row>
    <row r="232" spans="1:17" ht="66" customHeight="1" thickBot="1" x14ac:dyDescent="0.35">
      <c r="A232" s="37" t="s">
        <v>2773</v>
      </c>
      <c r="B232" s="37" t="s">
        <v>2776</v>
      </c>
      <c r="C232" s="37" t="s">
        <v>2777</v>
      </c>
      <c r="D232" s="4" t="s">
        <v>1491</v>
      </c>
      <c r="E232" s="21" t="s">
        <v>1244</v>
      </c>
      <c r="F232" s="4" t="s">
        <v>1245</v>
      </c>
      <c r="G232" s="4" t="s">
        <v>2587</v>
      </c>
      <c r="H232" s="14"/>
      <c r="I232" s="14" t="s">
        <v>903</v>
      </c>
      <c r="J232" s="14" t="s">
        <v>1246</v>
      </c>
      <c r="K232" s="13" t="s">
        <v>50</v>
      </c>
      <c r="L232" s="13" t="s">
        <v>12</v>
      </c>
      <c r="M232" s="23">
        <v>46147</v>
      </c>
      <c r="N232" s="24">
        <v>46280</v>
      </c>
      <c r="O232" s="14" t="s">
        <v>1986</v>
      </c>
      <c r="P232" s="14" t="s">
        <v>1987</v>
      </c>
      <c r="Q232" s="42" t="str">
        <f t="shared" si="3"/>
        <v>https://ec.europa.eu/info/funding-tenders/opportunities/portal/screen/opportunities/topic-details/HORIZON-CL5-2026-09-D2-04</v>
      </c>
    </row>
    <row r="233" spans="1:17" ht="66" customHeight="1" thickBot="1" x14ac:dyDescent="0.35">
      <c r="A233" s="37" t="s">
        <v>2773</v>
      </c>
      <c r="B233" s="37" t="s">
        <v>2776</v>
      </c>
      <c r="C233" s="37" t="s">
        <v>2777</v>
      </c>
      <c r="D233" s="4" t="s">
        <v>1491</v>
      </c>
      <c r="E233" s="21" t="s">
        <v>1247</v>
      </c>
      <c r="F233" s="4" t="s">
        <v>1248</v>
      </c>
      <c r="G233" s="4" t="s">
        <v>2588</v>
      </c>
      <c r="H233" s="14"/>
      <c r="I233" s="14" t="s">
        <v>903</v>
      </c>
      <c r="J233" s="14" t="s">
        <v>1249</v>
      </c>
      <c r="K233" s="13" t="s">
        <v>50</v>
      </c>
      <c r="L233" s="13" t="s">
        <v>12</v>
      </c>
      <c r="M233" s="23">
        <v>46359</v>
      </c>
      <c r="N233" s="24">
        <v>46477</v>
      </c>
      <c r="O233" s="14" t="s">
        <v>1988</v>
      </c>
      <c r="P233" s="14" t="s">
        <v>1989</v>
      </c>
      <c r="Q233" s="42" t="str">
        <f t="shared" si="3"/>
        <v>https://ec.europa.eu/info/funding-tenders/opportunities/portal/screen/opportunities/topic-details/HORIZON-CL5-2027-02-D2-05</v>
      </c>
    </row>
    <row r="234" spans="1:17" ht="66" customHeight="1" thickBot="1" x14ac:dyDescent="0.35">
      <c r="A234" s="37" t="s">
        <v>2773</v>
      </c>
      <c r="B234" s="37" t="s">
        <v>2776</v>
      </c>
      <c r="C234" s="37" t="s">
        <v>2777</v>
      </c>
      <c r="D234" s="4" t="s">
        <v>1491</v>
      </c>
      <c r="E234" s="21" t="s">
        <v>1250</v>
      </c>
      <c r="F234" s="4" t="s">
        <v>1251</v>
      </c>
      <c r="G234" s="4" t="s">
        <v>2589</v>
      </c>
      <c r="H234" s="14"/>
      <c r="I234" s="14" t="s">
        <v>357</v>
      </c>
      <c r="J234" s="14" t="s">
        <v>1252</v>
      </c>
      <c r="K234" s="13" t="s">
        <v>50</v>
      </c>
      <c r="L234" s="13" t="s">
        <v>12</v>
      </c>
      <c r="M234" s="23">
        <v>46359</v>
      </c>
      <c r="N234" s="24">
        <v>46477</v>
      </c>
      <c r="O234" s="14" t="s">
        <v>1990</v>
      </c>
      <c r="P234" s="14" t="s">
        <v>1991</v>
      </c>
      <c r="Q234" s="42" t="str">
        <f t="shared" si="3"/>
        <v>https://ec.europa.eu/info/funding-tenders/opportunities/portal/screen/opportunities/topic-details/HORIZON-CL5-2027-02-D2-06</v>
      </c>
    </row>
    <row r="235" spans="1:17" ht="66" customHeight="1" thickBot="1" x14ac:dyDescent="0.35">
      <c r="A235" s="37" t="s">
        <v>2773</v>
      </c>
      <c r="B235" s="37" t="s">
        <v>2776</v>
      </c>
      <c r="C235" s="37" t="s">
        <v>2777</v>
      </c>
      <c r="D235" s="4" t="s">
        <v>1491</v>
      </c>
      <c r="E235" s="21" t="s">
        <v>1253</v>
      </c>
      <c r="F235" s="4" t="s">
        <v>1254</v>
      </c>
      <c r="G235" s="4" t="s">
        <v>2590</v>
      </c>
      <c r="H235" s="14"/>
      <c r="I235" s="14" t="s">
        <v>870</v>
      </c>
      <c r="J235" s="14" t="s">
        <v>1255</v>
      </c>
      <c r="K235" s="13" t="s">
        <v>11</v>
      </c>
      <c r="L235" s="13" t="s">
        <v>35</v>
      </c>
      <c r="M235" s="23">
        <v>46371</v>
      </c>
      <c r="N235" s="24" t="s">
        <v>1256</v>
      </c>
      <c r="O235" s="14" t="s">
        <v>1992</v>
      </c>
      <c r="P235" s="14" t="s">
        <v>1993</v>
      </c>
      <c r="Q235" s="42" t="str">
        <f t="shared" si="3"/>
        <v>https://ec.europa.eu/info/funding-tenders/opportunities/portal/screen/opportunities/topic-details/HORIZON-CL5-2027-04-Two-Stage-D2-07</v>
      </c>
    </row>
    <row r="236" spans="1:17" ht="66" customHeight="1" thickBot="1" x14ac:dyDescent="0.35">
      <c r="A236" s="37" t="s">
        <v>2773</v>
      </c>
      <c r="B236" s="37" t="s">
        <v>2776</v>
      </c>
      <c r="C236" s="37" t="s">
        <v>2777</v>
      </c>
      <c r="D236" s="4" t="s">
        <v>1491</v>
      </c>
      <c r="E236" s="21" t="s">
        <v>1257</v>
      </c>
      <c r="F236" s="4" t="s">
        <v>1258</v>
      </c>
      <c r="G236" s="4" t="s">
        <v>2591</v>
      </c>
      <c r="H236" s="14"/>
      <c r="I236" s="14" t="s">
        <v>907</v>
      </c>
      <c r="J236" s="14" t="s">
        <v>1259</v>
      </c>
      <c r="K236" s="13" t="s">
        <v>50</v>
      </c>
      <c r="L236" s="13" t="s">
        <v>12</v>
      </c>
      <c r="M236" s="23">
        <v>46512</v>
      </c>
      <c r="N236" s="24">
        <v>46645</v>
      </c>
      <c r="O236" s="14" t="s">
        <v>1994</v>
      </c>
      <c r="P236" s="14" t="s">
        <v>1995</v>
      </c>
      <c r="Q236" s="42" t="str">
        <f t="shared" si="3"/>
        <v>https://ec.europa.eu/info/funding-tenders/opportunities/portal/screen/opportunities/topic-details/HORIZON-CL5-2027-05-D2-08</v>
      </c>
    </row>
    <row r="237" spans="1:17" ht="66" customHeight="1" thickBot="1" x14ac:dyDescent="0.35">
      <c r="A237" s="37" t="s">
        <v>2773</v>
      </c>
      <c r="B237" s="37" t="s">
        <v>2776</v>
      </c>
      <c r="C237" s="37" t="s">
        <v>2777</v>
      </c>
      <c r="D237" s="4" t="s">
        <v>1491</v>
      </c>
      <c r="E237" s="21" t="s">
        <v>1260</v>
      </c>
      <c r="F237" s="4" t="s">
        <v>1261</v>
      </c>
      <c r="G237" s="4" t="s">
        <v>2592</v>
      </c>
      <c r="H237" s="14"/>
      <c r="I237" s="14" t="s">
        <v>890</v>
      </c>
      <c r="J237" s="14" t="s">
        <v>1262</v>
      </c>
      <c r="K237" s="13" t="s">
        <v>11</v>
      </c>
      <c r="L237" s="13" t="s">
        <v>12</v>
      </c>
      <c r="M237" s="23">
        <v>46009</v>
      </c>
      <c r="N237" s="24">
        <v>46112</v>
      </c>
      <c r="O237" s="14" t="s">
        <v>1996</v>
      </c>
      <c r="P237" s="14" t="s">
        <v>1997</v>
      </c>
      <c r="Q237" s="42" t="str">
        <f t="shared" si="3"/>
        <v>https://ec.europa.eu/info/funding-tenders/opportunities/portal/screen/opportunities/topic-details/HORIZON-CL5-2026-03-D3-01</v>
      </c>
    </row>
    <row r="238" spans="1:17" ht="66" customHeight="1" thickBot="1" x14ac:dyDescent="0.35">
      <c r="A238" s="37" t="s">
        <v>2773</v>
      </c>
      <c r="B238" s="37" t="s">
        <v>2776</v>
      </c>
      <c r="C238" s="37" t="s">
        <v>2777</v>
      </c>
      <c r="D238" s="4" t="s">
        <v>1491</v>
      </c>
      <c r="E238" s="21" t="s">
        <v>1263</v>
      </c>
      <c r="F238" s="4" t="s">
        <v>1264</v>
      </c>
      <c r="G238" s="4" t="s">
        <v>2593</v>
      </c>
      <c r="H238" s="14" t="s">
        <v>2360</v>
      </c>
      <c r="I238" s="14" t="s">
        <v>890</v>
      </c>
      <c r="J238" s="14" t="s">
        <v>1265</v>
      </c>
      <c r="K238" s="13" t="s">
        <v>11</v>
      </c>
      <c r="L238" s="13" t="s">
        <v>35</v>
      </c>
      <c r="M238" s="23">
        <v>46009</v>
      </c>
      <c r="N238" s="24" t="s">
        <v>1266</v>
      </c>
      <c r="O238" s="14" t="s">
        <v>1998</v>
      </c>
      <c r="P238" s="14" t="s">
        <v>1999</v>
      </c>
      <c r="Q238" s="42" t="str">
        <f t="shared" si="3"/>
        <v>https://ec.europa.eu/info/funding-tenders/opportunities/portal/screen/opportunities/topic-details/HORIZON-CL5-2026-04-Two-Stage-D3-02</v>
      </c>
    </row>
    <row r="239" spans="1:17" ht="66" customHeight="1" thickBot="1" x14ac:dyDescent="0.35">
      <c r="A239" s="37" t="s">
        <v>2773</v>
      </c>
      <c r="B239" s="37" t="s">
        <v>2776</v>
      </c>
      <c r="C239" s="37" t="s">
        <v>2777</v>
      </c>
      <c r="D239" s="4" t="s">
        <v>1491</v>
      </c>
      <c r="E239" s="21" t="s">
        <v>1267</v>
      </c>
      <c r="F239" s="4" t="s">
        <v>1268</v>
      </c>
      <c r="G239" s="4" t="s">
        <v>2594</v>
      </c>
      <c r="H239" s="14"/>
      <c r="I239" s="14" t="s">
        <v>907</v>
      </c>
      <c r="J239" s="14" t="s">
        <v>1269</v>
      </c>
      <c r="K239" s="13" t="s">
        <v>50</v>
      </c>
      <c r="L239" s="13" t="s">
        <v>12</v>
      </c>
      <c r="M239" s="23">
        <v>46147</v>
      </c>
      <c r="N239" s="24">
        <v>46280</v>
      </c>
      <c r="O239" s="14" t="s">
        <v>2000</v>
      </c>
      <c r="P239" s="14" t="s">
        <v>2001</v>
      </c>
      <c r="Q239" s="42" t="str">
        <f t="shared" si="3"/>
        <v>https://ec.europa.eu/info/funding-tenders/opportunities/portal/screen/opportunities/topic-details/HORIZON-CL5-2026-09-D3-03</v>
      </c>
    </row>
    <row r="240" spans="1:17" ht="66" customHeight="1" thickBot="1" x14ac:dyDescent="0.35">
      <c r="A240" s="37" t="s">
        <v>2773</v>
      </c>
      <c r="B240" s="37" t="s">
        <v>2776</v>
      </c>
      <c r="C240" s="37" t="s">
        <v>2777</v>
      </c>
      <c r="D240" s="4" t="s">
        <v>1491</v>
      </c>
      <c r="E240" s="21" t="s">
        <v>1270</v>
      </c>
      <c r="F240" s="4" t="s">
        <v>1271</v>
      </c>
      <c r="G240" s="4" t="s">
        <v>2595</v>
      </c>
      <c r="H240" s="14"/>
      <c r="I240" s="14" t="s">
        <v>374</v>
      </c>
      <c r="J240" s="14" t="s">
        <v>1272</v>
      </c>
      <c r="K240" s="13" t="s">
        <v>61</v>
      </c>
      <c r="L240" s="13" t="s">
        <v>12</v>
      </c>
      <c r="M240" s="23">
        <v>46238</v>
      </c>
      <c r="N240" s="24">
        <v>46357</v>
      </c>
      <c r="O240" s="14" t="s">
        <v>2002</v>
      </c>
      <c r="P240" s="14" t="s">
        <v>2003</v>
      </c>
      <c r="Q240" s="42" t="str">
        <f t="shared" si="3"/>
        <v>https://ec.europa.eu/info/funding-tenders/opportunities/portal/screen/opportunities/topic-details/HORIZON-CL5-2026-11-D3-04</v>
      </c>
    </row>
    <row r="241" spans="1:17" ht="66" customHeight="1" thickBot="1" x14ac:dyDescent="0.35">
      <c r="A241" s="37" t="s">
        <v>2773</v>
      </c>
      <c r="B241" s="37" t="s">
        <v>2776</v>
      </c>
      <c r="C241" s="37" t="s">
        <v>2777</v>
      </c>
      <c r="D241" s="4" t="s">
        <v>1491</v>
      </c>
      <c r="E241" s="21" t="s">
        <v>1273</v>
      </c>
      <c r="F241" s="4" t="s">
        <v>1274</v>
      </c>
      <c r="G241" s="4" t="s">
        <v>2596</v>
      </c>
      <c r="H241" s="14" t="s">
        <v>2439</v>
      </c>
      <c r="I241" s="14" t="s">
        <v>276</v>
      </c>
      <c r="J241" s="14" t="s">
        <v>1275</v>
      </c>
      <c r="K241" s="13" t="s">
        <v>50</v>
      </c>
      <c r="L241" s="13" t="s">
        <v>12</v>
      </c>
      <c r="M241" s="23">
        <v>46238</v>
      </c>
      <c r="N241" s="24">
        <v>46357</v>
      </c>
      <c r="O241" s="14" t="s">
        <v>2004</v>
      </c>
      <c r="P241" s="14" t="s">
        <v>2005</v>
      </c>
      <c r="Q241" s="42" t="str">
        <f t="shared" si="3"/>
        <v>https://ec.europa.eu/info/funding-tenders/opportunities/portal/screen/opportunities/topic-details/HORIZON-CL5-2026-11-D3-05</v>
      </c>
    </row>
    <row r="242" spans="1:17" ht="66" customHeight="1" thickBot="1" x14ac:dyDescent="0.35">
      <c r="A242" s="37" t="s">
        <v>2773</v>
      </c>
      <c r="B242" s="37" t="s">
        <v>2776</v>
      </c>
      <c r="C242" s="37" t="s">
        <v>2777</v>
      </c>
      <c r="D242" s="4" t="s">
        <v>1491</v>
      </c>
      <c r="E242" s="21" t="s">
        <v>1276</v>
      </c>
      <c r="F242" s="4" t="s">
        <v>1277</v>
      </c>
      <c r="G242" s="4" t="s">
        <v>2597</v>
      </c>
      <c r="H242" s="14" t="s">
        <v>2360</v>
      </c>
      <c r="I242" s="14" t="s">
        <v>189</v>
      </c>
      <c r="J242" s="14" t="s">
        <v>1278</v>
      </c>
      <c r="K242" s="13" t="s">
        <v>11</v>
      </c>
      <c r="L242" s="13" t="s">
        <v>12</v>
      </c>
      <c r="M242" s="23">
        <v>46238</v>
      </c>
      <c r="N242" s="24">
        <v>46357</v>
      </c>
      <c r="O242" s="14" t="s">
        <v>2006</v>
      </c>
      <c r="P242" s="14" t="s">
        <v>2007</v>
      </c>
      <c r="Q242" s="42" t="str">
        <f t="shared" si="3"/>
        <v>https://ec.europa.eu/info/funding-tenders/opportunities/portal/screen/opportunities/topic-details/HORIZON-CL5-2026-11-D3-06</v>
      </c>
    </row>
    <row r="243" spans="1:17" ht="66" customHeight="1" thickBot="1" x14ac:dyDescent="0.35">
      <c r="A243" s="37" t="s">
        <v>2773</v>
      </c>
      <c r="B243" s="37" t="s">
        <v>2776</v>
      </c>
      <c r="C243" s="37" t="s">
        <v>2777</v>
      </c>
      <c r="D243" s="4" t="s">
        <v>1491</v>
      </c>
      <c r="E243" s="21" t="s">
        <v>1279</v>
      </c>
      <c r="F243" s="4" t="s">
        <v>1280</v>
      </c>
      <c r="G243" s="4" t="s">
        <v>2598</v>
      </c>
      <c r="H243" s="14"/>
      <c r="I243" s="14" t="s">
        <v>890</v>
      </c>
      <c r="J243" s="14" t="s">
        <v>1281</v>
      </c>
      <c r="K243" s="13" t="s">
        <v>50</v>
      </c>
      <c r="L243" s="13" t="s">
        <v>12</v>
      </c>
      <c r="M243" s="23">
        <v>46359</v>
      </c>
      <c r="N243" s="24">
        <v>46477</v>
      </c>
      <c r="O243" s="14" t="s">
        <v>2008</v>
      </c>
      <c r="P243" s="14" t="s">
        <v>2009</v>
      </c>
      <c r="Q243" s="42" t="str">
        <f t="shared" si="3"/>
        <v>https://ec.europa.eu/info/funding-tenders/opportunities/portal/screen/opportunities/topic-details/HORIZON-CL5-2027-02-D3-07</v>
      </c>
    </row>
    <row r="244" spans="1:17" ht="66" customHeight="1" thickBot="1" x14ac:dyDescent="0.35">
      <c r="A244" s="37" t="s">
        <v>2773</v>
      </c>
      <c r="B244" s="37" t="s">
        <v>2776</v>
      </c>
      <c r="C244" s="37" t="s">
        <v>2777</v>
      </c>
      <c r="D244" s="4" t="s">
        <v>1491</v>
      </c>
      <c r="E244" s="21" t="s">
        <v>1282</v>
      </c>
      <c r="F244" s="4" t="s">
        <v>1283</v>
      </c>
      <c r="G244" s="4" t="s">
        <v>2599</v>
      </c>
      <c r="H244" s="14"/>
      <c r="I244" s="14" t="s">
        <v>393</v>
      </c>
      <c r="J244" s="14" t="s">
        <v>1284</v>
      </c>
      <c r="K244" s="13" t="s">
        <v>1227</v>
      </c>
      <c r="L244" s="13" t="s">
        <v>12</v>
      </c>
      <c r="M244" s="23">
        <v>46359</v>
      </c>
      <c r="N244" s="24">
        <v>46477</v>
      </c>
      <c r="O244" s="14" t="s">
        <v>2010</v>
      </c>
      <c r="P244" s="14" t="s">
        <v>2011</v>
      </c>
      <c r="Q244" s="42" t="str">
        <f t="shared" si="3"/>
        <v>https://ec.europa.eu/info/funding-tenders/opportunities/portal/screen/opportunities/topic-details/HORIZON-CL5-2027-02-D3-08</v>
      </c>
    </row>
    <row r="245" spans="1:17" ht="66" customHeight="1" thickBot="1" x14ac:dyDescent="0.35">
      <c r="A245" s="37" t="s">
        <v>2773</v>
      </c>
      <c r="B245" s="37" t="s">
        <v>2776</v>
      </c>
      <c r="C245" s="37" t="s">
        <v>2777</v>
      </c>
      <c r="D245" s="4" t="s">
        <v>1491</v>
      </c>
      <c r="E245" s="21" t="s">
        <v>1285</v>
      </c>
      <c r="F245" s="4" t="s">
        <v>1286</v>
      </c>
      <c r="G245" s="4" t="s">
        <v>2600</v>
      </c>
      <c r="H245" s="14"/>
      <c r="I245" s="14" t="s">
        <v>890</v>
      </c>
      <c r="J245" s="14" t="s">
        <v>1287</v>
      </c>
      <c r="K245" s="13" t="s">
        <v>50</v>
      </c>
      <c r="L245" s="13" t="s">
        <v>12</v>
      </c>
      <c r="M245" s="23">
        <v>46359</v>
      </c>
      <c r="N245" s="24">
        <v>46477</v>
      </c>
      <c r="O245" s="14" t="s">
        <v>2012</v>
      </c>
      <c r="P245" s="14" t="s">
        <v>2013</v>
      </c>
      <c r="Q245" s="42" t="str">
        <f t="shared" si="3"/>
        <v>https://ec.europa.eu/info/funding-tenders/opportunities/portal/screen/opportunities/topic-details/HORIZON-CL5-2027-02-D3-09</v>
      </c>
    </row>
    <row r="246" spans="1:17" ht="66" customHeight="1" thickBot="1" x14ac:dyDescent="0.35">
      <c r="A246" s="37" t="s">
        <v>2773</v>
      </c>
      <c r="B246" s="37" t="s">
        <v>2776</v>
      </c>
      <c r="C246" s="37" t="s">
        <v>2777</v>
      </c>
      <c r="D246" s="4" t="s">
        <v>1491</v>
      </c>
      <c r="E246" s="21" t="s">
        <v>1288</v>
      </c>
      <c r="F246" s="4" t="s">
        <v>1289</v>
      </c>
      <c r="G246" s="4" t="s">
        <v>2601</v>
      </c>
      <c r="H246" s="14"/>
      <c r="I246" s="14" t="s">
        <v>393</v>
      </c>
      <c r="J246" s="14" t="s">
        <v>1290</v>
      </c>
      <c r="K246" s="13" t="s">
        <v>50</v>
      </c>
      <c r="L246" s="13" t="s">
        <v>12</v>
      </c>
      <c r="M246" s="23">
        <v>46359</v>
      </c>
      <c r="N246" s="24">
        <v>46477</v>
      </c>
      <c r="O246" s="14" t="s">
        <v>2014</v>
      </c>
      <c r="P246" s="14" t="s">
        <v>2015</v>
      </c>
      <c r="Q246" s="42" t="str">
        <f t="shared" si="3"/>
        <v>https://ec.europa.eu/info/funding-tenders/opportunities/portal/screen/opportunities/topic-details/HORIZON-CL5-2027-02-D3-10</v>
      </c>
    </row>
    <row r="247" spans="1:17" ht="66" customHeight="1" thickBot="1" x14ac:dyDescent="0.35">
      <c r="A247" s="37" t="s">
        <v>2773</v>
      </c>
      <c r="B247" s="37" t="s">
        <v>2776</v>
      </c>
      <c r="C247" s="37" t="s">
        <v>2777</v>
      </c>
      <c r="D247" s="4" t="s">
        <v>1491</v>
      </c>
      <c r="E247" s="21" t="s">
        <v>1291</v>
      </c>
      <c r="F247" s="4" t="s">
        <v>1292</v>
      </c>
      <c r="G247" s="4" t="s">
        <v>2602</v>
      </c>
      <c r="H247" s="14"/>
      <c r="I247" s="14" t="s">
        <v>890</v>
      </c>
      <c r="J247" s="14" t="s">
        <v>1293</v>
      </c>
      <c r="K247" s="13" t="s">
        <v>50</v>
      </c>
      <c r="L247" s="13" t="s">
        <v>12</v>
      </c>
      <c r="M247" s="23">
        <v>46603</v>
      </c>
      <c r="N247" s="24">
        <v>46722</v>
      </c>
      <c r="O247" s="14" t="s">
        <v>2016</v>
      </c>
      <c r="P247" s="14" t="s">
        <v>2017</v>
      </c>
      <c r="Q247" s="42" t="str">
        <f t="shared" si="3"/>
        <v>https://ec.europa.eu/info/funding-tenders/opportunities/portal/screen/opportunities/topic-details/HORIZON-CL5-2027-07-D3-11</v>
      </c>
    </row>
    <row r="248" spans="1:17" ht="66" customHeight="1" thickBot="1" x14ac:dyDescent="0.35">
      <c r="A248" s="37" t="s">
        <v>2773</v>
      </c>
      <c r="B248" s="37" t="s">
        <v>2776</v>
      </c>
      <c r="C248" s="37" t="s">
        <v>2777</v>
      </c>
      <c r="D248" s="4" t="s">
        <v>1491</v>
      </c>
      <c r="E248" s="21" t="s">
        <v>1294</v>
      </c>
      <c r="F248" s="4" t="s">
        <v>1295</v>
      </c>
      <c r="G248" s="4" t="s">
        <v>2603</v>
      </c>
      <c r="H248" s="14"/>
      <c r="I248" s="14" t="s">
        <v>1296</v>
      </c>
      <c r="J248" s="14" t="s">
        <v>1297</v>
      </c>
      <c r="K248" s="13" t="s">
        <v>11</v>
      </c>
      <c r="L248" s="13" t="s">
        <v>12</v>
      </c>
      <c r="M248" s="23">
        <v>46009</v>
      </c>
      <c r="N248" s="24">
        <v>46112</v>
      </c>
      <c r="O248" s="14" t="s">
        <v>2018</v>
      </c>
      <c r="P248" s="14" t="s">
        <v>2019</v>
      </c>
      <c r="Q248" s="42" t="str">
        <f t="shared" si="3"/>
        <v>https://ec.europa.eu/info/funding-tenders/opportunities/portal/screen/opportunities/topic-details/HORIZON-CL5-2026-03-D3-12</v>
      </c>
    </row>
    <row r="249" spans="1:17" ht="66" customHeight="1" thickBot="1" x14ac:dyDescent="0.35">
      <c r="A249" s="37" t="s">
        <v>2773</v>
      </c>
      <c r="B249" s="37" t="s">
        <v>2776</v>
      </c>
      <c r="C249" s="37" t="s">
        <v>2777</v>
      </c>
      <c r="D249" s="4" t="s">
        <v>1491</v>
      </c>
      <c r="E249" s="21" t="s">
        <v>1298</v>
      </c>
      <c r="F249" s="4" t="s">
        <v>1299</v>
      </c>
      <c r="G249" s="4" t="s">
        <v>2604</v>
      </c>
      <c r="H249" s="14"/>
      <c r="I249" s="14" t="s">
        <v>357</v>
      </c>
      <c r="J249" s="14" t="s">
        <v>1300</v>
      </c>
      <c r="K249" s="13" t="s">
        <v>50</v>
      </c>
      <c r="L249" s="13" t="s">
        <v>12</v>
      </c>
      <c r="M249" s="23">
        <v>46009</v>
      </c>
      <c r="N249" s="24">
        <v>46112</v>
      </c>
      <c r="O249" s="14" t="s">
        <v>2020</v>
      </c>
      <c r="P249" s="14" t="s">
        <v>2021</v>
      </c>
      <c r="Q249" s="42" t="str">
        <f t="shared" si="3"/>
        <v>https://ec.europa.eu/info/funding-tenders/opportunities/portal/screen/opportunities/topic-details/HORIZON-CL5-2026-03-D3-13</v>
      </c>
    </row>
    <row r="250" spans="1:17" ht="66" customHeight="1" thickBot="1" x14ac:dyDescent="0.35">
      <c r="A250" s="37" t="s">
        <v>2773</v>
      </c>
      <c r="B250" s="37" t="s">
        <v>2776</v>
      </c>
      <c r="C250" s="37" t="s">
        <v>2777</v>
      </c>
      <c r="D250" s="4" t="s">
        <v>1491</v>
      </c>
      <c r="E250" s="21" t="s">
        <v>1301</v>
      </c>
      <c r="F250" s="4" t="s">
        <v>1302</v>
      </c>
      <c r="G250" s="4" t="s">
        <v>2605</v>
      </c>
      <c r="H250" s="14" t="s">
        <v>2360</v>
      </c>
      <c r="I250" s="14" t="s">
        <v>907</v>
      </c>
      <c r="J250" s="14" t="s">
        <v>1303</v>
      </c>
      <c r="K250" s="13" t="s">
        <v>50</v>
      </c>
      <c r="L250" s="13" t="s">
        <v>12</v>
      </c>
      <c r="M250" s="23">
        <v>46238</v>
      </c>
      <c r="N250" s="24">
        <v>46357</v>
      </c>
      <c r="O250" s="14" t="s">
        <v>2022</v>
      </c>
      <c r="P250" s="14" t="s">
        <v>2023</v>
      </c>
      <c r="Q250" s="42" t="str">
        <f t="shared" si="3"/>
        <v>https://ec.europa.eu/info/funding-tenders/opportunities/portal/screen/opportunities/topic-details/HORIZON-CL5-2026-11-D3-14</v>
      </c>
    </row>
    <row r="251" spans="1:17" ht="66" customHeight="1" thickBot="1" x14ac:dyDescent="0.35">
      <c r="A251" s="37" t="s">
        <v>2773</v>
      </c>
      <c r="B251" s="37" t="s">
        <v>2776</v>
      </c>
      <c r="C251" s="37" t="s">
        <v>2777</v>
      </c>
      <c r="D251" s="4" t="s">
        <v>1491</v>
      </c>
      <c r="E251" s="21" t="s">
        <v>1304</v>
      </c>
      <c r="F251" s="4" t="s">
        <v>1305</v>
      </c>
      <c r="G251" s="4" t="s">
        <v>2606</v>
      </c>
      <c r="H251" s="14"/>
      <c r="I251" s="14" t="s">
        <v>890</v>
      </c>
      <c r="J251" s="14" t="s">
        <v>1306</v>
      </c>
      <c r="K251" s="13" t="s">
        <v>50</v>
      </c>
      <c r="L251" s="13" t="s">
        <v>12</v>
      </c>
      <c r="M251" s="23">
        <v>46359</v>
      </c>
      <c r="N251" s="24">
        <v>46477</v>
      </c>
      <c r="O251" s="14" t="s">
        <v>2024</v>
      </c>
      <c r="P251" s="14" t="s">
        <v>2025</v>
      </c>
      <c r="Q251" s="42" t="str">
        <f t="shared" si="3"/>
        <v>https://ec.europa.eu/info/funding-tenders/opportunities/portal/screen/opportunities/topic-details/HORIZON-CL5-2027-02-D3-15</v>
      </c>
    </row>
    <row r="252" spans="1:17" ht="66" customHeight="1" thickBot="1" x14ac:dyDescent="0.35">
      <c r="A252" s="37" t="s">
        <v>2773</v>
      </c>
      <c r="B252" s="37" t="s">
        <v>2776</v>
      </c>
      <c r="C252" s="37" t="s">
        <v>2777</v>
      </c>
      <c r="D252" s="4" t="s">
        <v>1491</v>
      </c>
      <c r="E252" s="21" t="s">
        <v>1307</v>
      </c>
      <c r="F252" s="4" t="s">
        <v>1308</v>
      </c>
      <c r="G252" s="4" t="s">
        <v>2607</v>
      </c>
      <c r="H252" s="14"/>
      <c r="I252" s="14" t="s">
        <v>357</v>
      </c>
      <c r="J252" s="14" t="s">
        <v>1309</v>
      </c>
      <c r="K252" s="13" t="s">
        <v>50</v>
      </c>
      <c r="L252" s="13" t="s">
        <v>12</v>
      </c>
      <c r="M252" s="23">
        <v>46603</v>
      </c>
      <c r="N252" s="24">
        <v>46722</v>
      </c>
      <c r="O252" s="14" t="s">
        <v>2026</v>
      </c>
      <c r="P252" s="14" t="s">
        <v>2027</v>
      </c>
      <c r="Q252" s="42" t="str">
        <f t="shared" si="3"/>
        <v>https://ec.europa.eu/info/funding-tenders/opportunities/portal/screen/opportunities/topic-details/HORIZON-CL5-2027-07-D3-16</v>
      </c>
    </row>
    <row r="253" spans="1:17" ht="66" customHeight="1" thickBot="1" x14ac:dyDescent="0.35">
      <c r="A253" s="37" t="s">
        <v>2773</v>
      </c>
      <c r="B253" s="37" t="s">
        <v>2776</v>
      </c>
      <c r="C253" s="37" t="s">
        <v>2777</v>
      </c>
      <c r="D253" s="4" t="s">
        <v>1491</v>
      </c>
      <c r="E253" s="21" t="s">
        <v>1310</v>
      </c>
      <c r="F253" s="4" t="s">
        <v>1311</v>
      </c>
      <c r="G253" s="4" t="s">
        <v>2608</v>
      </c>
      <c r="H253" s="14"/>
      <c r="I253" s="14" t="s">
        <v>810</v>
      </c>
      <c r="J253" s="14" t="s">
        <v>1312</v>
      </c>
      <c r="K253" s="13" t="s">
        <v>50</v>
      </c>
      <c r="L253" s="13" t="s">
        <v>12</v>
      </c>
      <c r="M253" s="23">
        <v>46603</v>
      </c>
      <c r="N253" s="24">
        <v>46722</v>
      </c>
      <c r="O253" s="14" t="s">
        <v>2028</v>
      </c>
      <c r="P253" s="14" t="s">
        <v>2029</v>
      </c>
      <c r="Q253" s="42" t="str">
        <f t="shared" si="3"/>
        <v>https://ec.europa.eu/info/funding-tenders/opportunities/portal/screen/opportunities/topic-details/HORIZON-CL5-2027-07-D3-17</v>
      </c>
    </row>
    <row r="254" spans="1:17" ht="66" customHeight="1" thickBot="1" x14ac:dyDescent="0.35">
      <c r="A254" s="37" t="s">
        <v>2773</v>
      </c>
      <c r="B254" s="37" t="s">
        <v>2776</v>
      </c>
      <c r="C254" s="37" t="s">
        <v>2777</v>
      </c>
      <c r="D254" s="4" t="s">
        <v>1491</v>
      </c>
      <c r="E254" s="21" t="s">
        <v>1313</v>
      </c>
      <c r="F254" s="4" t="s">
        <v>1314</v>
      </c>
      <c r="G254" s="4" t="s">
        <v>2609</v>
      </c>
      <c r="H254" s="14"/>
      <c r="I254" s="14" t="s">
        <v>1315</v>
      </c>
      <c r="J254" s="14" t="s">
        <v>1316</v>
      </c>
      <c r="K254" s="13" t="s">
        <v>50</v>
      </c>
      <c r="L254" s="13" t="s">
        <v>12</v>
      </c>
      <c r="M254" s="23">
        <v>46009</v>
      </c>
      <c r="N254" s="24">
        <v>46112</v>
      </c>
      <c r="O254" s="14" t="s">
        <v>2030</v>
      </c>
      <c r="P254" s="14" t="s">
        <v>2031</v>
      </c>
      <c r="Q254" s="42" t="str">
        <f t="shared" si="3"/>
        <v>https://ec.europa.eu/info/funding-tenders/opportunities/portal/screen/opportunities/topic-details/HORIZON-CL5-2026-03-D3-18</v>
      </c>
    </row>
    <row r="255" spans="1:17" ht="66" customHeight="1" thickBot="1" x14ac:dyDescent="0.35">
      <c r="A255" s="37" t="s">
        <v>2773</v>
      </c>
      <c r="B255" s="37" t="s">
        <v>2776</v>
      </c>
      <c r="C255" s="37" t="s">
        <v>2777</v>
      </c>
      <c r="D255" s="4" t="s">
        <v>1491</v>
      </c>
      <c r="E255" s="21" t="s">
        <v>1317</v>
      </c>
      <c r="F255" s="4" t="s">
        <v>1318</v>
      </c>
      <c r="G255" s="4" t="s">
        <v>2610</v>
      </c>
      <c r="H255" s="14"/>
      <c r="I255" s="14" t="s">
        <v>1315</v>
      </c>
      <c r="J255" s="14" t="s">
        <v>1319</v>
      </c>
      <c r="K255" s="13" t="s">
        <v>50</v>
      </c>
      <c r="L255" s="13" t="s">
        <v>12</v>
      </c>
      <c r="M255" s="23">
        <v>46009</v>
      </c>
      <c r="N255" s="24">
        <v>46112</v>
      </c>
      <c r="O255" s="14" t="s">
        <v>2032</v>
      </c>
      <c r="P255" s="14" t="s">
        <v>2033</v>
      </c>
      <c r="Q255" s="42" t="str">
        <f t="shared" si="3"/>
        <v>https://ec.europa.eu/info/funding-tenders/opportunities/portal/screen/opportunities/topic-details/HORIZON-CL5-2026-03-D3-19</v>
      </c>
    </row>
    <row r="256" spans="1:17" ht="66" customHeight="1" thickBot="1" x14ac:dyDescent="0.35">
      <c r="A256" s="37" t="s">
        <v>2773</v>
      </c>
      <c r="B256" s="37" t="s">
        <v>2776</v>
      </c>
      <c r="C256" s="37" t="s">
        <v>2777</v>
      </c>
      <c r="D256" s="4" t="s">
        <v>1491</v>
      </c>
      <c r="E256" s="21" t="s">
        <v>1320</v>
      </c>
      <c r="F256" s="4" t="s">
        <v>1321</v>
      </c>
      <c r="G256" s="4" t="s">
        <v>2611</v>
      </c>
      <c r="H256" s="14"/>
      <c r="I256" s="14" t="s">
        <v>794</v>
      </c>
      <c r="J256" s="14" t="s">
        <v>1322</v>
      </c>
      <c r="K256" s="13" t="s">
        <v>50</v>
      </c>
      <c r="L256" s="13" t="s">
        <v>12</v>
      </c>
      <c r="M256" s="23">
        <v>46009</v>
      </c>
      <c r="N256" s="24">
        <v>46112</v>
      </c>
      <c r="O256" s="14" t="s">
        <v>2034</v>
      </c>
      <c r="P256" s="14" t="s">
        <v>2035</v>
      </c>
      <c r="Q256" s="42" t="str">
        <f t="shared" si="3"/>
        <v>https://ec.europa.eu/info/funding-tenders/opportunities/portal/screen/opportunities/topic-details/HORIZON-CL5-2026-03-D3-20</v>
      </c>
    </row>
    <row r="257" spans="1:17" ht="66" customHeight="1" thickBot="1" x14ac:dyDescent="0.35">
      <c r="A257" s="37" t="s">
        <v>2773</v>
      </c>
      <c r="B257" s="37" t="s">
        <v>2776</v>
      </c>
      <c r="C257" s="37" t="s">
        <v>2777</v>
      </c>
      <c r="D257" s="4" t="s">
        <v>1491</v>
      </c>
      <c r="E257" s="21" t="s">
        <v>1323</v>
      </c>
      <c r="F257" s="4" t="s">
        <v>1324</v>
      </c>
      <c r="G257" s="4" t="s">
        <v>2612</v>
      </c>
      <c r="H257" s="14"/>
      <c r="I257" s="14" t="s">
        <v>810</v>
      </c>
      <c r="J257" s="14" t="s">
        <v>1325</v>
      </c>
      <c r="K257" s="13" t="s">
        <v>11</v>
      </c>
      <c r="L257" s="13" t="s">
        <v>12</v>
      </c>
      <c r="M257" s="23">
        <v>46009</v>
      </c>
      <c r="N257" s="24">
        <v>46112</v>
      </c>
      <c r="O257" s="14" t="s">
        <v>2036</v>
      </c>
      <c r="P257" s="14" t="s">
        <v>2037</v>
      </c>
      <c r="Q257" s="42" t="str">
        <f t="shared" si="3"/>
        <v>https://ec.europa.eu/info/funding-tenders/opportunities/portal/screen/opportunities/topic-details/HORIZON-CL5-2026-03-D3-21</v>
      </c>
    </row>
    <row r="258" spans="1:17" ht="66" customHeight="1" thickBot="1" x14ac:dyDescent="0.35">
      <c r="A258" s="37" t="s">
        <v>2773</v>
      </c>
      <c r="B258" s="37" t="s">
        <v>2776</v>
      </c>
      <c r="C258" s="37" t="s">
        <v>2777</v>
      </c>
      <c r="D258" s="4" t="s">
        <v>1491</v>
      </c>
      <c r="E258" s="21" t="s">
        <v>1326</v>
      </c>
      <c r="F258" s="4" t="s">
        <v>1327</v>
      </c>
      <c r="G258" s="4" t="s">
        <v>2613</v>
      </c>
      <c r="H258" s="14" t="s">
        <v>2360</v>
      </c>
      <c r="I258" s="14" t="s">
        <v>778</v>
      </c>
      <c r="J258" s="14" t="s">
        <v>1328</v>
      </c>
      <c r="K258" s="13" t="s">
        <v>50</v>
      </c>
      <c r="L258" s="13" t="s">
        <v>12</v>
      </c>
      <c r="M258" s="23">
        <v>46009</v>
      </c>
      <c r="N258" s="24">
        <v>46112</v>
      </c>
      <c r="O258" s="14" t="s">
        <v>2038</v>
      </c>
      <c r="P258" s="14" t="s">
        <v>2039</v>
      </c>
      <c r="Q258" s="42" t="str">
        <f t="shared" si="3"/>
        <v>https://ec.europa.eu/info/funding-tenders/opportunities/portal/screen/opportunities/topic-details/HORIZON-CL5-2026-03-D3-22</v>
      </c>
    </row>
    <row r="259" spans="1:17" ht="66" customHeight="1" thickBot="1" x14ac:dyDescent="0.35">
      <c r="A259" s="37" t="s">
        <v>2773</v>
      </c>
      <c r="B259" s="37" t="s">
        <v>2776</v>
      </c>
      <c r="C259" s="37" t="s">
        <v>2777</v>
      </c>
      <c r="D259" s="4" t="s">
        <v>1491</v>
      </c>
      <c r="E259" s="21" t="s">
        <v>1329</v>
      </c>
      <c r="F259" s="4" t="s">
        <v>1330</v>
      </c>
      <c r="G259" s="4" t="s">
        <v>2614</v>
      </c>
      <c r="H259" s="14"/>
      <c r="I259" s="14" t="s">
        <v>933</v>
      </c>
      <c r="J259" s="14" t="s">
        <v>1331</v>
      </c>
      <c r="K259" s="13" t="s">
        <v>50</v>
      </c>
      <c r="L259" s="13" t="s">
        <v>12</v>
      </c>
      <c r="M259" s="23">
        <v>46238</v>
      </c>
      <c r="N259" s="24">
        <v>46357</v>
      </c>
      <c r="O259" s="14" t="s">
        <v>2040</v>
      </c>
      <c r="P259" s="14" t="s">
        <v>2041</v>
      </c>
      <c r="Q259" s="42" t="str">
        <f t="shared" si="3"/>
        <v>https://ec.europa.eu/info/funding-tenders/opportunities/portal/screen/opportunities/topic-details/HORIZON-CL5-2026-11-D3-23</v>
      </c>
    </row>
    <row r="260" spans="1:17" ht="66" customHeight="1" thickBot="1" x14ac:dyDescent="0.35">
      <c r="A260" s="37" t="s">
        <v>2773</v>
      </c>
      <c r="B260" s="37" t="s">
        <v>2776</v>
      </c>
      <c r="C260" s="37" t="s">
        <v>2777</v>
      </c>
      <c r="D260" s="4" t="s">
        <v>1491</v>
      </c>
      <c r="E260" s="21" t="s">
        <v>1332</v>
      </c>
      <c r="F260" s="4" t="s">
        <v>1333</v>
      </c>
      <c r="G260" s="4" t="s">
        <v>2615</v>
      </c>
      <c r="H260" s="14"/>
      <c r="I260" s="14" t="s">
        <v>933</v>
      </c>
      <c r="J260" s="14" t="s">
        <v>1334</v>
      </c>
      <c r="K260" s="13" t="s">
        <v>50</v>
      </c>
      <c r="L260" s="13" t="s">
        <v>12</v>
      </c>
      <c r="M260" s="23">
        <v>46359</v>
      </c>
      <c r="N260" s="24">
        <v>46477</v>
      </c>
      <c r="O260" s="14" t="s">
        <v>2042</v>
      </c>
      <c r="P260" s="14" t="s">
        <v>2043</v>
      </c>
      <c r="Q260" s="42" t="str">
        <f t="shared" si="3"/>
        <v>https://ec.europa.eu/info/funding-tenders/opportunities/portal/screen/opportunities/topic-details/HORIZON-CL5-2027-02-D3-24</v>
      </c>
    </row>
    <row r="261" spans="1:17" ht="66" customHeight="1" thickBot="1" x14ac:dyDescent="0.35">
      <c r="A261" s="37" t="s">
        <v>2773</v>
      </c>
      <c r="B261" s="37" t="s">
        <v>2776</v>
      </c>
      <c r="C261" s="37" t="s">
        <v>2777</v>
      </c>
      <c r="D261" s="4" t="s">
        <v>1491</v>
      </c>
      <c r="E261" s="21" t="s">
        <v>1335</v>
      </c>
      <c r="F261" s="4" t="s">
        <v>1336</v>
      </c>
      <c r="G261" s="4" t="s">
        <v>2616</v>
      </c>
      <c r="H261" s="14"/>
      <c r="I261" s="14" t="s">
        <v>1315</v>
      </c>
      <c r="J261" s="14" t="s">
        <v>1337</v>
      </c>
      <c r="K261" s="13" t="s">
        <v>50</v>
      </c>
      <c r="L261" s="13" t="s">
        <v>12</v>
      </c>
      <c r="M261" s="23">
        <v>46603</v>
      </c>
      <c r="N261" s="24">
        <v>46722</v>
      </c>
      <c r="O261" s="14" t="s">
        <v>2044</v>
      </c>
      <c r="P261" s="14" t="s">
        <v>2045</v>
      </c>
      <c r="Q261" s="42" t="str">
        <f t="shared" si="3"/>
        <v>https://ec.europa.eu/info/funding-tenders/opportunities/portal/screen/opportunities/topic-details/HORIZON-CL5-2027-07-D3-25</v>
      </c>
    </row>
    <row r="262" spans="1:17" ht="66" customHeight="1" thickBot="1" x14ac:dyDescent="0.35">
      <c r="A262" s="37" t="s">
        <v>2773</v>
      </c>
      <c r="B262" s="37" t="s">
        <v>2776</v>
      </c>
      <c r="C262" s="37" t="s">
        <v>2777</v>
      </c>
      <c r="D262" s="4" t="s">
        <v>1491</v>
      </c>
      <c r="E262" s="21" t="s">
        <v>1338</v>
      </c>
      <c r="F262" s="4" t="s">
        <v>1339</v>
      </c>
      <c r="G262" s="4" t="s">
        <v>2617</v>
      </c>
      <c r="H262" s="14"/>
      <c r="I262" s="14" t="s">
        <v>1315</v>
      </c>
      <c r="J262" s="14" t="s">
        <v>1340</v>
      </c>
      <c r="K262" s="13" t="s">
        <v>50</v>
      </c>
      <c r="L262" s="13" t="s">
        <v>12</v>
      </c>
      <c r="M262" s="23">
        <v>46603</v>
      </c>
      <c r="N262" s="24">
        <v>46722</v>
      </c>
      <c r="O262" s="14" t="s">
        <v>2046</v>
      </c>
      <c r="P262" s="14" t="s">
        <v>2047</v>
      </c>
      <c r="Q262" s="42" t="str">
        <f t="shared" si="3"/>
        <v>https://ec.europa.eu/info/funding-tenders/opportunities/portal/screen/opportunities/topic-details/HORIZON-CL5-2027-07-D3-26</v>
      </c>
    </row>
    <row r="263" spans="1:17" ht="66" customHeight="1" thickBot="1" x14ac:dyDescent="0.35">
      <c r="A263" s="37" t="s">
        <v>2773</v>
      </c>
      <c r="B263" s="37" t="s">
        <v>2776</v>
      </c>
      <c r="C263" s="37" t="s">
        <v>2777</v>
      </c>
      <c r="D263" s="4" t="s">
        <v>1491</v>
      </c>
      <c r="E263" s="21" t="s">
        <v>1341</v>
      </c>
      <c r="F263" s="4" t="s">
        <v>1342</v>
      </c>
      <c r="G263" s="4" t="s">
        <v>2618</v>
      </c>
      <c r="H263" s="14"/>
      <c r="I263" s="14" t="s">
        <v>890</v>
      </c>
      <c r="J263" s="14" t="s">
        <v>1343</v>
      </c>
      <c r="K263" s="13" t="s">
        <v>50</v>
      </c>
      <c r="L263" s="13" t="s">
        <v>12</v>
      </c>
      <c r="M263" s="23">
        <v>46603</v>
      </c>
      <c r="N263" s="24">
        <v>46722</v>
      </c>
      <c r="O263" s="14" t="s">
        <v>2048</v>
      </c>
      <c r="P263" s="14" t="s">
        <v>2049</v>
      </c>
      <c r="Q263" s="42" t="str">
        <f t="shared" si="3"/>
        <v>https://ec.europa.eu/info/funding-tenders/opportunities/portal/screen/opportunities/topic-details/HORIZON-CL5-2027-07-D3-27</v>
      </c>
    </row>
    <row r="264" spans="1:17" ht="66" customHeight="1" thickBot="1" x14ac:dyDescent="0.35">
      <c r="A264" s="37" t="s">
        <v>2773</v>
      </c>
      <c r="B264" s="37" t="s">
        <v>2776</v>
      </c>
      <c r="C264" s="37" t="s">
        <v>2777</v>
      </c>
      <c r="D264" s="4" t="s">
        <v>1491</v>
      </c>
      <c r="E264" s="21" t="s">
        <v>1344</v>
      </c>
      <c r="F264" s="4" t="s">
        <v>1345</v>
      </c>
      <c r="G264" s="4" t="s">
        <v>2619</v>
      </c>
      <c r="H264" s="14"/>
      <c r="I264" s="14" t="s">
        <v>607</v>
      </c>
      <c r="J264" s="14" t="s">
        <v>1346</v>
      </c>
      <c r="K264" s="13" t="s">
        <v>16</v>
      </c>
      <c r="L264" s="13" t="s">
        <v>12</v>
      </c>
      <c r="M264" s="23">
        <v>46603</v>
      </c>
      <c r="N264" s="24">
        <v>46722</v>
      </c>
      <c r="O264" s="14" t="s">
        <v>2050</v>
      </c>
      <c r="P264" s="14" t="s">
        <v>2051</v>
      </c>
      <c r="Q264" s="42" t="str">
        <f t="shared" si="3"/>
        <v>https://ec.europa.eu/info/funding-tenders/opportunities/portal/screen/opportunities/topic-details/HORIZON-CL5-2027-07-D3-28</v>
      </c>
    </row>
    <row r="265" spans="1:17" ht="66" customHeight="1" thickBot="1" x14ac:dyDescent="0.35">
      <c r="A265" s="37" t="s">
        <v>2773</v>
      </c>
      <c r="B265" s="37" t="s">
        <v>2776</v>
      </c>
      <c r="C265" s="37" t="s">
        <v>2777</v>
      </c>
      <c r="D265" s="4" t="s">
        <v>1491</v>
      </c>
      <c r="E265" s="21" t="s">
        <v>1347</v>
      </c>
      <c r="F265" s="4" t="s">
        <v>1348</v>
      </c>
      <c r="G265" s="4" t="s">
        <v>2620</v>
      </c>
      <c r="H265" s="14"/>
      <c r="I265" s="14" t="s">
        <v>440</v>
      </c>
      <c r="J265" s="14" t="s">
        <v>1349</v>
      </c>
      <c r="K265" s="13" t="s">
        <v>50</v>
      </c>
      <c r="L265" s="13" t="s">
        <v>12</v>
      </c>
      <c r="M265" s="23">
        <v>46009</v>
      </c>
      <c r="N265" s="24">
        <v>46112</v>
      </c>
      <c r="O265" s="14" t="s">
        <v>2052</v>
      </c>
      <c r="P265" s="14" t="s">
        <v>2053</v>
      </c>
      <c r="Q265" s="42" t="str">
        <f t="shared" ref="Q265:Q328" si="4">"https://ec.europa.eu/info/funding-tenders/opportunities/portal/screen/opportunities/topic-details/" &amp; E265</f>
        <v>https://ec.europa.eu/info/funding-tenders/opportunities/portal/screen/opportunities/topic-details/HORIZON-CL5-2026-03-D3-29</v>
      </c>
    </row>
    <row r="266" spans="1:17" ht="66" customHeight="1" thickBot="1" x14ac:dyDescent="0.35">
      <c r="A266" s="37" t="s">
        <v>2773</v>
      </c>
      <c r="B266" s="37" t="s">
        <v>2776</v>
      </c>
      <c r="C266" s="37" t="s">
        <v>2777</v>
      </c>
      <c r="D266" s="4" t="s">
        <v>1491</v>
      </c>
      <c r="E266" s="21" t="s">
        <v>1350</v>
      </c>
      <c r="F266" s="4" t="s">
        <v>1351</v>
      </c>
      <c r="G266" s="4" t="s">
        <v>2621</v>
      </c>
      <c r="H266" s="14"/>
      <c r="I266" s="14" t="s">
        <v>890</v>
      </c>
      <c r="J266" s="14" t="s">
        <v>1352</v>
      </c>
      <c r="K266" s="13" t="s">
        <v>50</v>
      </c>
      <c r="L266" s="13" t="s">
        <v>12</v>
      </c>
      <c r="M266" s="23">
        <v>46359</v>
      </c>
      <c r="N266" s="24">
        <v>46477</v>
      </c>
      <c r="O266" s="14" t="s">
        <v>2054</v>
      </c>
      <c r="P266" s="14" t="s">
        <v>2055</v>
      </c>
      <c r="Q266" s="42" t="str">
        <f t="shared" si="4"/>
        <v>https://ec.europa.eu/info/funding-tenders/opportunities/portal/screen/opportunities/topic-details/HORIZON-CL5-2027-02-D3-30</v>
      </c>
    </row>
    <row r="267" spans="1:17" ht="66" customHeight="1" thickBot="1" x14ac:dyDescent="0.35">
      <c r="A267" s="37" t="s">
        <v>2773</v>
      </c>
      <c r="B267" s="37" t="s">
        <v>2776</v>
      </c>
      <c r="C267" s="37" t="s">
        <v>2777</v>
      </c>
      <c r="D267" s="4" t="s">
        <v>1491</v>
      </c>
      <c r="E267" s="21" t="s">
        <v>1353</v>
      </c>
      <c r="F267" s="4" t="s">
        <v>1354</v>
      </c>
      <c r="G267" s="4" t="s">
        <v>2622</v>
      </c>
      <c r="H267" s="14"/>
      <c r="I267" s="14" t="s">
        <v>243</v>
      </c>
      <c r="J267" s="14" t="s">
        <v>1355</v>
      </c>
      <c r="K267" s="13" t="s">
        <v>16</v>
      </c>
      <c r="L267" s="13" t="s">
        <v>12</v>
      </c>
      <c r="M267" s="23">
        <v>46359</v>
      </c>
      <c r="N267" s="24">
        <v>46477</v>
      </c>
      <c r="O267" s="14" t="s">
        <v>2056</v>
      </c>
      <c r="P267" s="14" t="s">
        <v>2057</v>
      </c>
      <c r="Q267" s="42" t="str">
        <f t="shared" si="4"/>
        <v>https://ec.europa.eu/info/funding-tenders/opportunities/portal/screen/opportunities/topic-details/HORIZON-CL5-2027-02-D3-31</v>
      </c>
    </row>
    <row r="268" spans="1:17" ht="66" customHeight="1" thickBot="1" x14ac:dyDescent="0.35">
      <c r="A268" s="37" t="s">
        <v>2773</v>
      </c>
      <c r="B268" s="37" t="s">
        <v>2776</v>
      </c>
      <c r="C268" s="37" t="s">
        <v>2777</v>
      </c>
      <c r="D268" s="4" t="s">
        <v>1491</v>
      </c>
      <c r="E268" s="21" t="s">
        <v>1356</v>
      </c>
      <c r="F268" s="4" t="s">
        <v>1357</v>
      </c>
      <c r="G268" s="4" t="s">
        <v>2623</v>
      </c>
      <c r="H268" s="14" t="s">
        <v>2440</v>
      </c>
      <c r="I268" s="14" t="s">
        <v>1358</v>
      </c>
      <c r="J268" s="14" t="s">
        <v>1359</v>
      </c>
      <c r="K268" s="13" t="s">
        <v>50</v>
      </c>
      <c r="L268" s="13" t="s">
        <v>12</v>
      </c>
      <c r="M268" s="23">
        <v>46603</v>
      </c>
      <c r="N268" s="24">
        <v>46722</v>
      </c>
      <c r="O268" s="14" t="s">
        <v>2058</v>
      </c>
      <c r="P268" s="14" t="s">
        <v>2059</v>
      </c>
      <c r="Q268" s="42" t="str">
        <f t="shared" si="4"/>
        <v>https://ec.europa.eu/info/funding-tenders/opportunities/portal/screen/opportunities/topic-details/HORIZON-CL5-2027-07-D3-32</v>
      </c>
    </row>
    <row r="269" spans="1:17" ht="66" customHeight="1" thickBot="1" x14ac:dyDescent="0.35">
      <c r="A269" s="37" t="s">
        <v>2773</v>
      </c>
      <c r="B269" s="37" t="s">
        <v>2776</v>
      </c>
      <c r="C269" s="37" t="s">
        <v>2777</v>
      </c>
      <c r="D269" s="4" t="s">
        <v>1491</v>
      </c>
      <c r="E269" s="21" t="s">
        <v>1360</v>
      </c>
      <c r="F269" s="4" t="s">
        <v>1361</v>
      </c>
      <c r="G269" s="4" t="s">
        <v>2624</v>
      </c>
      <c r="H269" s="14" t="s">
        <v>2441</v>
      </c>
      <c r="I269" s="14" t="s">
        <v>361</v>
      </c>
      <c r="J269" s="14" t="s">
        <v>1362</v>
      </c>
      <c r="K269" s="13" t="s">
        <v>11</v>
      </c>
      <c r="L269" s="13" t="s">
        <v>12</v>
      </c>
      <c r="M269" s="23">
        <v>46147</v>
      </c>
      <c r="N269" s="24">
        <v>46280</v>
      </c>
      <c r="O269" s="14" t="s">
        <v>2060</v>
      </c>
      <c r="P269" s="14" t="s">
        <v>2061</v>
      </c>
      <c r="Q269" s="42" t="str">
        <f t="shared" si="4"/>
        <v>https://ec.europa.eu/info/funding-tenders/opportunities/portal/screen/opportunities/topic-details/HORIZON-CL5-2026-09-D4-01</v>
      </c>
    </row>
    <row r="270" spans="1:17" ht="66" customHeight="1" thickBot="1" x14ac:dyDescent="0.35">
      <c r="A270" s="37" t="s">
        <v>2773</v>
      </c>
      <c r="B270" s="37" t="s">
        <v>2776</v>
      </c>
      <c r="C270" s="37" t="s">
        <v>2777</v>
      </c>
      <c r="D270" s="4" t="s">
        <v>1491</v>
      </c>
      <c r="E270" s="21" t="s">
        <v>1363</v>
      </c>
      <c r="F270" s="4" t="s">
        <v>1364</v>
      </c>
      <c r="G270" s="4" t="s">
        <v>2625</v>
      </c>
      <c r="H270" s="14"/>
      <c r="I270" s="14" t="s">
        <v>393</v>
      </c>
      <c r="J270" s="14" t="s">
        <v>1365</v>
      </c>
      <c r="K270" s="13" t="s">
        <v>50</v>
      </c>
      <c r="L270" s="13" t="s">
        <v>12</v>
      </c>
      <c r="M270" s="23">
        <v>46147</v>
      </c>
      <c r="N270" s="24">
        <v>46280</v>
      </c>
      <c r="O270" s="14" t="s">
        <v>2062</v>
      </c>
      <c r="P270" s="14" t="s">
        <v>2063</v>
      </c>
      <c r="Q270" s="42" t="str">
        <f t="shared" si="4"/>
        <v>https://ec.europa.eu/info/funding-tenders/opportunities/portal/screen/opportunities/topic-details/HORIZON-CL5-2026-09-D4-02</v>
      </c>
    </row>
    <row r="271" spans="1:17" ht="66" customHeight="1" thickBot="1" x14ac:dyDescent="0.35">
      <c r="A271" s="37" t="s">
        <v>2773</v>
      </c>
      <c r="B271" s="37" t="s">
        <v>2776</v>
      </c>
      <c r="C271" s="37" t="s">
        <v>2777</v>
      </c>
      <c r="D271" s="4" t="s">
        <v>1491</v>
      </c>
      <c r="E271" s="21" t="s">
        <v>1366</v>
      </c>
      <c r="F271" s="4" t="s">
        <v>1367</v>
      </c>
      <c r="G271" s="4" t="s">
        <v>2626</v>
      </c>
      <c r="H271" s="14"/>
      <c r="I271" s="14" t="s">
        <v>800</v>
      </c>
      <c r="J271" s="14" t="s">
        <v>1368</v>
      </c>
      <c r="K271" s="13" t="s">
        <v>50</v>
      </c>
      <c r="L271" s="13" t="s">
        <v>12</v>
      </c>
      <c r="M271" s="23">
        <v>46147</v>
      </c>
      <c r="N271" s="24">
        <v>46280</v>
      </c>
      <c r="O271" s="14" t="s">
        <v>2064</v>
      </c>
      <c r="P271" s="14" t="s">
        <v>2065</v>
      </c>
      <c r="Q271" s="42" t="str">
        <f t="shared" si="4"/>
        <v>https://ec.europa.eu/info/funding-tenders/opportunities/portal/screen/opportunities/topic-details/HORIZON-CL5-2026-09-D4-03</v>
      </c>
    </row>
    <row r="272" spans="1:17" ht="66" customHeight="1" thickBot="1" x14ac:dyDescent="0.35">
      <c r="A272" s="37" t="s">
        <v>2773</v>
      </c>
      <c r="B272" s="37" t="s">
        <v>2776</v>
      </c>
      <c r="C272" s="37" t="s">
        <v>2777</v>
      </c>
      <c r="D272" s="4" t="s">
        <v>1491</v>
      </c>
      <c r="E272" s="21" t="s">
        <v>1369</v>
      </c>
      <c r="F272" s="4" t="s">
        <v>1370</v>
      </c>
      <c r="G272" s="4" t="s">
        <v>2627</v>
      </c>
      <c r="H272" s="14"/>
      <c r="I272" s="14" t="s">
        <v>243</v>
      </c>
      <c r="J272" s="14" t="s">
        <v>1371</v>
      </c>
      <c r="K272" s="13" t="s">
        <v>11</v>
      </c>
      <c r="L272" s="13" t="s">
        <v>12</v>
      </c>
      <c r="M272" s="23">
        <v>46147</v>
      </c>
      <c r="N272" s="24">
        <v>46280</v>
      </c>
      <c r="O272" s="14" t="s">
        <v>2066</v>
      </c>
      <c r="P272" s="14" t="s">
        <v>2067</v>
      </c>
      <c r="Q272" s="42" t="str">
        <f t="shared" si="4"/>
        <v>https://ec.europa.eu/info/funding-tenders/opportunities/portal/screen/opportunities/topic-details/HORIZON-CL5-2026-09-D4-04</v>
      </c>
    </row>
    <row r="273" spans="1:17" ht="66" customHeight="1" thickBot="1" x14ac:dyDescent="0.35">
      <c r="A273" s="37" t="s">
        <v>2773</v>
      </c>
      <c r="B273" s="37" t="s">
        <v>2776</v>
      </c>
      <c r="C273" s="37" t="s">
        <v>2777</v>
      </c>
      <c r="D273" s="4" t="s">
        <v>1491</v>
      </c>
      <c r="E273" s="21" t="s">
        <v>1372</v>
      </c>
      <c r="F273" s="4" t="s">
        <v>1373</v>
      </c>
      <c r="G273" s="4" t="s">
        <v>2628</v>
      </c>
      <c r="H273" s="14"/>
      <c r="I273" s="14" t="s">
        <v>810</v>
      </c>
      <c r="J273" s="14" t="s">
        <v>1374</v>
      </c>
      <c r="K273" s="13" t="s">
        <v>50</v>
      </c>
      <c r="L273" s="13" t="s">
        <v>12</v>
      </c>
      <c r="M273" s="23">
        <v>46512</v>
      </c>
      <c r="N273" s="24">
        <v>46645</v>
      </c>
      <c r="O273" s="14" t="s">
        <v>2068</v>
      </c>
      <c r="P273" s="14" t="s">
        <v>2069</v>
      </c>
      <c r="Q273" s="42" t="str">
        <f t="shared" si="4"/>
        <v>https://ec.europa.eu/info/funding-tenders/opportunities/portal/screen/opportunities/topic-details/HORIZON-CL5-2027-05-D4-05</v>
      </c>
    </row>
    <row r="274" spans="1:17" ht="66" customHeight="1" thickBot="1" x14ac:dyDescent="0.35">
      <c r="A274" s="37" t="s">
        <v>2773</v>
      </c>
      <c r="B274" s="37" t="s">
        <v>2776</v>
      </c>
      <c r="C274" s="37" t="s">
        <v>2777</v>
      </c>
      <c r="D274" s="4" t="s">
        <v>1491</v>
      </c>
      <c r="E274" s="21" t="s">
        <v>1375</v>
      </c>
      <c r="F274" s="4" t="s">
        <v>1376</v>
      </c>
      <c r="G274" s="4" t="s">
        <v>2629</v>
      </c>
      <c r="H274" s="14"/>
      <c r="I274" s="14" t="s">
        <v>947</v>
      </c>
      <c r="J274" s="14" t="s">
        <v>1377</v>
      </c>
      <c r="K274" s="13" t="s">
        <v>50</v>
      </c>
      <c r="L274" s="13" t="s">
        <v>12</v>
      </c>
      <c r="M274" s="23">
        <v>46512</v>
      </c>
      <c r="N274" s="24">
        <v>46645</v>
      </c>
      <c r="O274" s="14" t="s">
        <v>2070</v>
      </c>
      <c r="P274" s="14" t="s">
        <v>2071</v>
      </c>
      <c r="Q274" s="42" t="str">
        <f t="shared" si="4"/>
        <v>https://ec.europa.eu/info/funding-tenders/opportunities/portal/screen/opportunities/topic-details/HORIZON-CL5-2027-05-D4-06</v>
      </c>
    </row>
    <row r="275" spans="1:17" ht="66" customHeight="1" thickBot="1" x14ac:dyDescent="0.35">
      <c r="A275" s="37" t="s">
        <v>2773</v>
      </c>
      <c r="B275" s="37" t="s">
        <v>2776</v>
      </c>
      <c r="C275" s="37" t="s">
        <v>2777</v>
      </c>
      <c r="D275" s="4" t="s">
        <v>1491</v>
      </c>
      <c r="E275" s="21" t="s">
        <v>1378</v>
      </c>
      <c r="F275" s="4" t="s">
        <v>1379</v>
      </c>
      <c r="G275" s="4" t="s">
        <v>2630</v>
      </c>
      <c r="H275" s="14"/>
      <c r="I275" s="14" t="s">
        <v>393</v>
      </c>
      <c r="J275" s="14" t="s">
        <v>1380</v>
      </c>
      <c r="K275" s="13" t="s">
        <v>50</v>
      </c>
      <c r="L275" s="13" t="s">
        <v>12</v>
      </c>
      <c r="M275" s="23">
        <v>46512</v>
      </c>
      <c r="N275" s="24">
        <v>46645</v>
      </c>
      <c r="O275" s="14" t="s">
        <v>2072</v>
      </c>
      <c r="P275" s="14" t="s">
        <v>2073</v>
      </c>
      <c r="Q275" s="42" t="str">
        <f t="shared" si="4"/>
        <v>https://ec.europa.eu/info/funding-tenders/opportunities/portal/screen/opportunities/topic-details/HORIZON-CL5-2027-05-D4-07</v>
      </c>
    </row>
    <row r="276" spans="1:17" ht="66" customHeight="1" thickBot="1" x14ac:dyDescent="0.35">
      <c r="A276" s="37" t="s">
        <v>2773</v>
      </c>
      <c r="B276" s="37" t="s">
        <v>2776</v>
      </c>
      <c r="C276" s="37" t="s">
        <v>2777</v>
      </c>
      <c r="D276" s="4" t="s">
        <v>1491</v>
      </c>
      <c r="E276" s="21" t="s">
        <v>1381</v>
      </c>
      <c r="F276" s="4" t="s">
        <v>1382</v>
      </c>
      <c r="G276" s="4" t="s">
        <v>2631</v>
      </c>
      <c r="H276" s="14"/>
      <c r="I276" s="14" t="s">
        <v>947</v>
      </c>
      <c r="J276" s="14" t="s">
        <v>1383</v>
      </c>
      <c r="K276" s="13" t="s">
        <v>50</v>
      </c>
      <c r="L276" s="13" t="s">
        <v>12</v>
      </c>
      <c r="M276" s="23">
        <v>46147</v>
      </c>
      <c r="N276" s="24">
        <v>46280</v>
      </c>
      <c r="O276" s="14" t="s">
        <v>2074</v>
      </c>
      <c r="P276" s="14" t="s">
        <v>2075</v>
      </c>
      <c r="Q276" s="42" t="str">
        <f t="shared" si="4"/>
        <v>https://ec.europa.eu/info/funding-tenders/opportunities/portal/screen/opportunities/topic-details/HORIZON-CL5-2026-09-D4-08</v>
      </c>
    </row>
    <row r="277" spans="1:17" ht="66" customHeight="1" thickBot="1" x14ac:dyDescent="0.35">
      <c r="A277" s="37" t="s">
        <v>2773</v>
      </c>
      <c r="B277" s="37" t="s">
        <v>2776</v>
      </c>
      <c r="C277" s="37" t="s">
        <v>2777</v>
      </c>
      <c r="D277" s="4" t="s">
        <v>1491</v>
      </c>
      <c r="E277" s="21" t="s">
        <v>1384</v>
      </c>
      <c r="F277" s="4" t="s">
        <v>1385</v>
      </c>
      <c r="G277" s="4" t="s">
        <v>2632</v>
      </c>
      <c r="H277" s="14"/>
      <c r="I277" s="14" t="s">
        <v>907</v>
      </c>
      <c r="J277" s="14" t="s">
        <v>1386</v>
      </c>
      <c r="K277" s="13" t="s">
        <v>50</v>
      </c>
      <c r="L277" s="13" t="s">
        <v>12</v>
      </c>
      <c r="M277" s="23">
        <v>46512</v>
      </c>
      <c r="N277" s="24">
        <v>46645</v>
      </c>
      <c r="O277" s="14" t="s">
        <v>2076</v>
      </c>
      <c r="P277" s="14" t="s">
        <v>2077</v>
      </c>
      <c r="Q277" s="42" t="str">
        <f t="shared" si="4"/>
        <v>https://ec.europa.eu/info/funding-tenders/opportunities/portal/screen/opportunities/topic-details/HORIZON-CL5-2027-05-D4-09</v>
      </c>
    </row>
    <row r="278" spans="1:17" ht="66" customHeight="1" thickBot="1" x14ac:dyDescent="0.35">
      <c r="A278" s="37" t="s">
        <v>2773</v>
      </c>
      <c r="B278" s="37" t="s">
        <v>2776</v>
      </c>
      <c r="C278" s="37" t="s">
        <v>2777</v>
      </c>
      <c r="D278" s="4" t="s">
        <v>1491</v>
      </c>
      <c r="E278" s="21" t="s">
        <v>1387</v>
      </c>
      <c r="F278" s="4" t="s">
        <v>1388</v>
      </c>
      <c r="G278" s="4" t="s">
        <v>2633</v>
      </c>
      <c r="H278" s="14"/>
      <c r="I278" s="14" t="s">
        <v>393</v>
      </c>
      <c r="J278" s="14" t="s">
        <v>1389</v>
      </c>
      <c r="K278" s="13" t="s">
        <v>50</v>
      </c>
      <c r="L278" s="13" t="s">
        <v>12</v>
      </c>
      <c r="M278" s="23">
        <v>46009</v>
      </c>
      <c r="N278" s="24">
        <v>46126</v>
      </c>
      <c r="O278" s="14" t="s">
        <v>2078</v>
      </c>
      <c r="P278" s="14" t="s">
        <v>2079</v>
      </c>
      <c r="Q278" s="42" t="str">
        <f t="shared" si="4"/>
        <v>https://ec.europa.eu/info/funding-tenders/opportunities/portal/screen/opportunities/topic-details/HORIZON-CL5-2026-05-D5-01</v>
      </c>
    </row>
    <row r="279" spans="1:17" ht="66" customHeight="1" thickBot="1" x14ac:dyDescent="0.35">
      <c r="A279" s="37" t="s">
        <v>2773</v>
      </c>
      <c r="B279" s="37" t="s">
        <v>2776</v>
      </c>
      <c r="C279" s="37" t="s">
        <v>2777</v>
      </c>
      <c r="D279" s="4" t="s">
        <v>1491</v>
      </c>
      <c r="E279" s="21" t="s">
        <v>1390</v>
      </c>
      <c r="F279" s="4" t="s">
        <v>1391</v>
      </c>
      <c r="G279" s="4" t="s">
        <v>2634</v>
      </c>
      <c r="H279" s="14"/>
      <c r="I279" s="14" t="s">
        <v>800</v>
      </c>
      <c r="J279" s="14" t="s">
        <v>1392</v>
      </c>
      <c r="K279" s="13" t="s">
        <v>50</v>
      </c>
      <c r="L279" s="13" t="s">
        <v>12</v>
      </c>
      <c r="M279" s="23">
        <v>46009</v>
      </c>
      <c r="N279" s="24">
        <v>46126</v>
      </c>
      <c r="O279" s="14" t="s">
        <v>2080</v>
      </c>
      <c r="P279" s="14" t="s">
        <v>2081</v>
      </c>
      <c r="Q279" s="42" t="str">
        <f t="shared" si="4"/>
        <v>https://ec.europa.eu/info/funding-tenders/opportunities/portal/screen/opportunities/topic-details/HORIZON-CL5-2026-05-D5-02</v>
      </c>
    </row>
    <row r="280" spans="1:17" ht="66" customHeight="1" thickBot="1" x14ac:dyDescent="0.35">
      <c r="A280" s="37" t="s">
        <v>2773</v>
      </c>
      <c r="B280" s="37" t="s">
        <v>2776</v>
      </c>
      <c r="C280" s="37" t="s">
        <v>2777</v>
      </c>
      <c r="D280" s="4" t="s">
        <v>1491</v>
      </c>
      <c r="E280" s="21" t="s">
        <v>1393</v>
      </c>
      <c r="F280" s="4" t="s">
        <v>1394</v>
      </c>
      <c r="G280" s="4" t="s">
        <v>2635</v>
      </c>
      <c r="H280" s="14"/>
      <c r="I280" s="14" t="s">
        <v>1013</v>
      </c>
      <c r="J280" s="14" t="s">
        <v>1395</v>
      </c>
      <c r="K280" s="13" t="s">
        <v>50</v>
      </c>
      <c r="L280" s="13" t="s">
        <v>12</v>
      </c>
      <c r="M280" s="23">
        <v>46371</v>
      </c>
      <c r="N280" s="24">
        <v>46491</v>
      </c>
      <c r="O280" s="14" t="s">
        <v>2082</v>
      </c>
      <c r="P280" s="14" t="s">
        <v>2083</v>
      </c>
      <c r="Q280" s="42" t="str">
        <f t="shared" si="4"/>
        <v>https://ec.europa.eu/info/funding-tenders/opportunities/portal/screen/opportunities/topic-details/HORIZON-CL5-2027-03-D5-03</v>
      </c>
    </row>
    <row r="281" spans="1:17" ht="66" customHeight="1" thickBot="1" x14ac:dyDescent="0.35">
      <c r="A281" s="37" t="s">
        <v>2773</v>
      </c>
      <c r="B281" s="37" t="s">
        <v>2776</v>
      </c>
      <c r="C281" s="37" t="s">
        <v>2777</v>
      </c>
      <c r="D281" s="4" t="s">
        <v>1491</v>
      </c>
      <c r="E281" s="21" t="s">
        <v>1396</v>
      </c>
      <c r="F281" s="4" t="s">
        <v>1397</v>
      </c>
      <c r="G281" s="4" t="s">
        <v>2636</v>
      </c>
      <c r="H281" s="14"/>
      <c r="I281" s="14" t="s">
        <v>393</v>
      </c>
      <c r="J281" s="14" t="s">
        <v>1398</v>
      </c>
      <c r="K281" s="13" t="s">
        <v>50</v>
      </c>
      <c r="L281" s="13" t="s">
        <v>12</v>
      </c>
      <c r="M281" s="23">
        <v>46371</v>
      </c>
      <c r="N281" s="24">
        <v>46491</v>
      </c>
      <c r="O281" s="14" t="s">
        <v>2084</v>
      </c>
      <c r="P281" s="14" t="s">
        <v>2085</v>
      </c>
      <c r="Q281" s="42" t="str">
        <f t="shared" si="4"/>
        <v>https://ec.europa.eu/info/funding-tenders/opportunities/portal/screen/opportunities/topic-details/HORIZON-CL5-2027-03-D5-04</v>
      </c>
    </row>
    <row r="282" spans="1:17" ht="66" customHeight="1" thickBot="1" x14ac:dyDescent="0.35">
      <c r="A282" s="37" t="s">
        <v>2773</v>
      </c>
      <c r="B282" s="37" t="s">
        <v>2776</v>
      </c>
      <c r="C282" s="37" t="s">
        <v>2777</v>
      </c>
      <c r="D282" s="4" t="s">
        <v>1491</v>
      </c>
      <c r="E282" s="21" t="s">
        <v>1399</v>
      </c>
      <c r="F282" s="4" t="s">
        <v>1400</v>
      </c>
      <c r="G282" s="4" t="s">
        <v>2637</v>
      </c>
      <c r="H282" s="14"/>
      <c r="I282" s="14" t="s">
        <v>810</v>
      </c>
      <c r="J282" s="14" t="s">
        <v>1401</v>
      </c>
      <c r="K282" s="13" t="s">
        <v>50</v>
      </c>
      <c r="L282" s="13" t="s">
        <v>12</v>
      </c>
      <c r="M282" s="23">
        <v>46371</v>
      </c>
      <c r="N282" s="24">
        <v>46491</v>
      </c>
      <c r="O282" s="14" t="s">
        <v>2086</v>
      </c>
      <c r="P282" s="14" t="s">
        <v>2087</v>
      </c>
      <c r="Q282" s="42" t="str">
        <f t="shared" si="4"/>
        <v>https://ec.europa.eu/info/funding-tenders/opportunities/portal/screen/opportunities/topic-details/HORIZON-CL5-2027-03-D5-05</v>
      </c>
    </row>
    <row r="283" spans="1:17" ht="66" customHeight="1" thickBot="1" x14ac:dyDescent="0.35">
      <c r="A283" s="37" t="s">
        <v>2773</v>
      </c>
      <c r="B283" s="37" t="s">
        <v>2776</v>
      </c>
      <c r="C283" s="37" t="s">
        <v>2777</v>
      </c>
      <c r="D283" s="4" t="s">
        <v>1491</v>
      </c>
      <c r="E283" s="21" t="s">
        <v>1402</v>
      </c>
      <c r="F283" s="4" t="s">
        <v>1403</v>
      </c>
      <c r="G283" s="4" t="s">
        <v>2638</v>
      </c>
      <c r="H283" s="14" t="s">
        <v>2442</v>
      </c>
      <c r="I283" s="14" t="s">
        <v>1358</v>
      </c>
      <c r="J283" s="14" t="s">
        <v>1404</v>
      </c>
      <c r="K283" s="13" t="s">
        <v>50</v>
      </c>
      <c r="L283" s="13" t="s">
        <v>12</v>
      </c>
      <c r="M283" s="23">
        <v>46371</v>
      </c>
      <c r="N283" s="24">
        <v>46491</v>
      </c>
      <c r="O283" s="14" t="s">
        <v>2088</v>
      </c>
      <c r="P283" s="14" t="s">
        <v>2089</v>
      </c>
      <c r="Q283" s="42" t="str">
        <f t="shared" si="4"/>
        <v>https://ec.europa.eu/info/funding-tenders/opportunities/portal/screen/opportunities/topic-details/HORIZON-CL5-2027-03-D5-06</v>
      </c>
    </row>
    <row r="284" spans="1:17" ht="66" customHeight="1" thickBot="1" x14ac:dyDescent="0.35">
      <c r="A284" s="37" t="s">
        <v>2773</v>
      </c>
      <c r="B284" s="37" t="s">
        <v>2776</v>
      </c>
      <c r="C284" s="37" t="s">
        <v>2777</v>
      </c>
      <c r="D284" s="4" t="s">
        <v>1491</v>
      </c>
      <c r="E284" s="21" t="s">
        <v>1405</v>
      </c>
      <c r="F284" s="4" t="s">
        <v>1406</v>
      </c>
      <c r="G284" s="4" t="s">
        <v>2639</v>
      </c>
      <c r="H284" s="14"/>
      <c r="I284" s="14" t="s">
        <v>1013</v>
      </c>
      <c r="J284" s="14" t="s">
        <v>1407</v>
      </c>
      <c r="K284" s="13" t="s">
        <v>11</v>
      </c>
      <c r="L284" s="13" t="s">
        <v>12</v>
      </c>
      <c r="M284" s="23">
        <v>46009</v>
      </c>
      <c r="N284" s="24">
        <v>46126</v>
      </c>
      <c r="O284" s="14" t="s">
        <v>2090</v>
      </c>
      <c r="P284" s="14" t="s">
        <v>2091</v>
      </c>
      <c r="Q284" s="42" t="str">
        <f t="shared" si="4"/>
        <v>https://ec.europa.eu/info/funding-tenders/opportunities/portal/screen/opportunities/topic-details/HORIZON-CL5-2026-05-D5-07</v>
      </c>
    </row>
    <row r="285" spans="1:17" ht="66" customHeight="1" thickBot="1" x14ac:dyDescent="0.35">
      <c r="A285" s="37" t="s">
        <v>2773</v>
      </c>
      <c r="B285" s="37" t="s">
        <v>2776</v>
      </c>
      <c r="C285" s="37" t="s">
        <v>2777</v>
      </c>
      <c r="D285" s="4" t="s">
        <v>1491</v>
      </c>
      <c r="E285" s="21" t="s">
        <v>1408</v>
      </c>
      <c r="F285" s="4" t="s">
        <v>1409</v>
      </c>
      <c r="G285" s="4" t="s">
        <v>2640</v>
      </c>
      <c r="H285" s="14"/>
      <c r="I285" s="14" t="s">
        <v>357</v>
      </c>
      <c r="J285" s="14" t="s">
        <v>1410</v>
      </c>
      <c r="K285" s="13" t="s">
        <v>11</v>
      </c>
      <c r="L285" s="13" t="s">
        <v>12</v>
      </c>
      <c r="M285" s="23">
        <v>46371</v>
      </c>
      <c r="N285" s="24">
        <v>46491</v>
      </c>
      <c r="O285" s="14" t="s">
        <v>2092</v>
      </c>
      <c r="P285" s="14" t="s">
        <v>2093</v>
      </c>
      <c r="Q285" s="42" t="str">
        <f t="shared" si="4"/>
        <v>https://ec.europa.eu/info/funding-tenders/opportunities/portal/screen/opportunities/topic-details/HORIZON-CL5-2027-03-D5-08</v>
      </c>
    </row>
    <row r="286" spans="1:17" ht="66" customHeight="1" thickBot="1" x14ac:dyDescent="0.35">
      <c r="A286" s="37" t="s">
        <v>2773</v>
      </c>
      <c r="B286" s="37" t="s">
        <v>2776</v>
      </c>
      <c r="C286" s="37" t="s">
        <v>2777</v>
      </c>
      <c r="D286" s="4" t="s">
        <v>1491</v>
      </c>
      <c r="E286" s="21" t="s">
        <v>1411</v>
      </c>
      <c r="F286" s="4" t="s">
        <v>1412</v>
      </c>
      <c r="G286" s="4" t="s">
        <v>2641</v>
      </c>
      <c r="H286" s="14"/>
      <c r="I286" s="14" t="s">
        <v>1413</v>
      </c>
      <c r="J286" s="14" t="s">
        <v>1414</v>
      </c>
      <c r="K286" s="13" t="s">
        <v>11</v>
      </c>
      <c r="L286" s="13" t="s">
        <v>35</v>
      </c>
      <c r="M286" s="23">
        <v>46371</v>
      </c>
      <c r="N286" s="24" t="s">
        <v>1256</v>
      </c>
      <c r="O286" s="14" t="s">
        <v>2094</v>
      </c>
      <c r="P286" s="14" t="s">
        <v>2095</v>
      </c>
      <c r="Q286" s="42" t="str">
        <f t="shared" si="4"/>
        <v>https://ec.europa.eu/info/funding-tenders/opportunities/portal/screen/opportunities/topic-details/HORIZON-CL5-2027-04-Two-Stage-D5-09</v>
      </c>
    </row>
    <row r="287" spans="1:17" ht="66" customHeight="1" thickBot="1" x14ac:dyDescent="0.35">
      <c r="A287" s="37" t="s">
        <v>2773</v>
      </c>
      <c r="B287" s="37" t="s">
        <v>2776</v>
      </c>
      <c r="C287" s="37" t="s">
        <v>2777</v>
      </c>
      <c r="D287" s="4" t="s">
        <v>1491</v>
      </c>
      <c r="E287" s="21" t="s">
        <v>1415</v>
      </c>
      <c r="F287" s="4" t="s">
        <v>1416</v>
      </c>
      <c r="G287" s="4" t="s">
        <v>2642</v>
      </c>
      <c r="H287" s="14"/>
      <c r="I287" s="14" t="s">
        <v>357</v>
      </c>
      <c r="J287" s="14" t="s">
        <v>1417</v>
      </c>
      <c r="K287" s="13" t="s">
        <v>11</v>
      </c>
      <c r="L287" s="13" t="s">
        <v>35</v>
      </c>
      <c r="M287" s="23">
        <v>46009</v>
      </c>
      <c r="N287" s="24" t="s">
        <v>1418</v>
      </c>
      <c r="O287" s="14" t="s">
        <v>2096</v>
      </c>
      <c r="P287" s="14" t="s">
        <v>2097</v>
      </c>
      <c r="Q287" s="42" t="str">
        <f t="shared" si="4"/>
        <v>https://ec.europa.eu/info/funding-tenders/opportunities/portal/screen/opportunities/topic-details/HORIZON-CL5-2026-06-Two-Stage-D5-10</v>
      </c>
    </row>
    <row r="288" spans="1:17" ht="66" customHeight="1" thickBot="1" x14ac:dyDescent="0.35">
      <c r="A288" s="37" t="s">
        <v>2773</v>
      </c>
      <c r="B288" s="37" t="s">
        <v>2776</v>
      </c>
      <c r="C288" s="37" t="s">
        <v>2777</v>
      </c>
      <c r="D288" s="4" t="s">
        <v>1491</v>
      </c>
      <c r="E288" s="21" t="s">
        <v>1419</v>
      </c>
      <c r="F288" s="4" t="s">
        <v>1420</v>
      </c>
      <c r="G288" s="4" t="s">
        <v>2643</v>
      </c>
      <c r="H288" s="14"/>
      <c r="I288" s="14" t="s">
        <v>393</v>
      </c>
      <c r="J288" s="14" t="s">
        <v>1421</v>
      </c>
      <c r="K288" s="13" t="s">
        <v>50</v>
      </c>
      <c r="L288" s="13" t="s">
        <v>12</v>
      </c>
      <c r="M288" s="23">
        <v>46009</v>
      </c>
      <c r="N288" s="24">
        <v>46126</v>
      </c>
      <c r="O288" s="14" t="s">
        <v>2098</v>
      </c>
      <c r="P288" s="14" t="s">
        <v>2099</v>
      </c>
      <c r="Q288" s="42" t="str">
        <f t="shared" si="4"/>
        <v>https://ec.europa.eu/info/funding-tenders/opportunities/portal/screen/opportunities/topic-details/HORIZON-CL5-2026-05-D5-11</v>
      </c>
    </row>
    <row r="289" spans="1:17" ht="66" customHeight="1" thickBot="1" x14ac:dyDescent="0.35">
      <c r="A289" s="37" t="s">
        <v>2773</v>
      </c>
      <c r="B289" s="37" t="s">
        <v>2776</v>
      </c>
      <c r="C289" s="37" t="s">
        <v>2777</v>
      </c>
      <c r="D289" s="4" t="s">
        <v>1491</v>
      </c>
      <c r="E289" s="21" t="s">
        <v>1422</v>
      </c>
      <c r="F289" s="4" t="s">
        <v>1423</v>
      </c>
      <c r="G289" s="4" t="s">
        <v>2644</v>
      </c>
      <c r="H289" s="14"/>
      <c r="I289" s="14" t="s">
        <v>907</v>
      </c>
      <c r="J289" s="14" t="s">
        <v>1424</v>
      </c>
      <c r="K289" s="13" t="s">
        <v>50</v>
      </c>
      <c r="L289" s="13" t="s">
        <v>12</v>
      </c>
      <c r="M289" s="23">
        <v>46009</v>
      </c>
      <c r="N289" s="24">
        <v>46126</v>
      </c>
      <c r="O289" s="14" t="s">
        <v>2100</v>
      </c>
      <c r="P289" s="14" t="s">
        <v>2101</v>
      </c>
      <c r="Q289" s="42" t="str">
        <f t="shared" si="4"/>
        <v>https://ec.europa.eu/info/funding-tenders/opportunities/portal/screen/opportunities/topic-details/HORIZON-CL5-2026-05-D5-12</v>
      </c>
    </row>
    <row r="290" spans="1:17" ht="66" customHeight="1" thickBot="1" x14ac:dyDescent="0.35">
      <c r="A290" s="37" t="s">
        <v>2773</v>
      </c>
      <c r="B290" s="37" t="s">
        <v>2776</v>
      </c>
      <c r="C290" s="37" t="s">
        <v>2777</v>
      </c>
      <c r="D290" s="4" t="s">
        <v>1491</v>
      </c>
      <c r="E290" s="21" t="s">
        <v>1425</v>
      </c>
      <c r="F290" s="4" t="s">
        <v>1426</v>
      </c>
      <c r="G290" s="4" t="s">
        <v>2645</v>
      </c>
      <c r="H290" s="14"/>
      <c r="I290" s="14" t="s">
        <v>824</v>
      </c>
      <c r="J290" s="14" t="s">
        <v>1427</v>
      </c>
      <c r="K290" s="13" t="s">
        <v>16</v>
      </c>
      <c r="L290" s="13" t="s">
        <v>12</v>
      </c>
      <c r="M290" s="23">
        <v>46009</v>
      </c>
      <c r="N290" s="24">
        <v>46126</v>
      </c>
      <c r="O290" s="14" t="s">
        <v>2102</v>
      </c>
      <c r="P290" s="14" t="s">
        <v>2103</v>
      </c>
      <c r="Q290" s="42" t="str">
        <f t="shared" si="4"/>
        <v>https://ec.europa.eu/info/funding-tenders/opportunities/portal/screen/opportunities/topic-details/HORIZON-CL5-2026-05-D5-13</v>
      </c>
    </row>
    <row r="291" spans="1:17" ht="66" customHeight="1" thickBot="1" x14ac:dyDescent="0.35">
      <c r="A291" s="37" t="s">
        <v>2773</v>
      </c>
      <c r="B291" s="37" t="s">
        <v>2776</v>
      </c>
      <c r="C291" s="37" t="s">
        <v>2777</v>
      </c>
      <c r="D291" s="4" t="s">
        <v>1491</v>
      </c>
      <c r="E291" s="21" t="s">
        <v>1428</v>
      </c>
      <c r="F291" s="4" t="s">
        <v>1429</v>
      </c>
      <c r="G291" s="4" t="s">
        <v>2646</v>
      </c>
      <c r="H291" s="14"/>
      <c r="I291" s="14" t="s">
        <v>907</v>
      </c>
      <c r="J291" s="14" t="s">
        <v>1430</v>
      </c>
      <c r="K291" s="13" t="s">
        <v>50</v>
      </c>
      <c r="L291" s="13" t="s">
        <v>12</v>
      </c>
      <c r="M291" s="23">
        <v>46371</v>
      </c>
      <c r="N291" s="24">
        <v>46491</v>
      </c>
      <c r="O291" s="14" t="s">
        <v>2104</v>
      </c>
      <c r="P291" s="14" t="s">
        <v>2105</v>
      </c>
      <c r="Q291" s="42" t="str">
        <f t="shared" si="4"/>
        <v>https://ec.europa.eu/info/funding-tenders/opportunities/portal/screen/opportunities/topic-details/HORIZON-CL5-2027-03-D5-14</v>
      </c>
    </row>
    <row r="292" spans="1:17" ht="66" customHeight="1" thickBot="1" x14ac:dyDescent="0.35">
      <c r="A292" s="37" t="s">
        <v>2773</v>
      </c>
      <c r="B292" s="37" t="s">
        <v>2776</v>
      </c>
      <c r="C292" s="37" t="s">
        <v>2777</v>
      </c>
      <c r="D292" s="4" t="s">
        <v>1491</v>
      </c>
      <c r="E292" s="21" t="s">
        <v>1431</v>
      </c>
      <c r="F292" s="4" t="s">
        <v>1432</v>
      </c>
      <c r="G292" s="4" t="s">
        <v>2647</v>
      </c>
      <c r="H292" s="14"/>
      <c r="I292" s="14" t="s">
        <v>1433</v>
      </c>
      <c r="J292" s="14" t="s">
        <v>1434</v>
      </c>
      <c r="K292" s="13" t="s">
        <v>16</v>
      </c>
      <c r="L292" s="13" t="s">
        <v>12</v>
      </c>
      <c r="M292" s="23">
        <v>46371</v>
      </c>
      <c r="N292" s="24">
        <v>46491</v>
      </c>
      <c r="O292" s="14" t="s">
        <v>2106</v>
      </c>
      <c r="P292" s="14" t="s">
        <v>2107</v>
      </c>
      <c r="Q292" s="42" t="str">
        <f t="shared" si="4"/>
        <v>https://ec.europa.eu/info/funding-tenders/opportunities/portal/screen/opportunities/topic-details/HORIZON-CL5-2027-03-D5-15</v>
      </c>
    </row>
    <row r="293" spans="1:17" ht="66" customHeight="1" thickBot="1" x14ac:dyDescent="0.35">
      <c r="A293" s="37" t="s">
        <v>2773</v>
      </c>
      <c r="B293" s="37" t="s">
        <v>2776</v>
      </c>
      <c r="C293" s="37" t="s">
        <v>2777</v>
      </c>
      <c r="D293" s="4" t="s">
        <v>1491</v>
      </c>
      <c r="E293" s="21" t="s">
        <v>1435</v>
      </c>
      <c r="F293" s="4" t="s">
        <v>1436</v>
      </c>
      <c r="G293" s="4" t="s">
        <v>2648</v>
      </c>
      <c r="H293" s="14"/>
      <c r="I293" s="14" t="s">
        <v>810</v>
      </c>
      <c r="J293" s="14" t="s">
        <v>1437</v>
      </c>
      <c r="K293" s="13" t="s">
        <v>50</v>
      </c>
      <c r="L293" s="13" t="s">
        <v>12</v>
      </c>
      <c r="M293" s="23">
        <v>46371</v>
      </c>
      <c r="N293" s="24">
        <v>46491</v>
      </c>
      <c r="O293" s="14" t="s">
        <v>2108</v>
      </c>
      <c r="P293" s="14" t="s">
        <v>2109</v>
      </c>
      <c r="Q293" s="42" t="str">
        <f t="shared" si="4"/>
        <v>https://ec.europa.eu/info/funding-tenders/opportunities/portal/screen/opportunities/topic-details/HORIZON-CL5-2027-03-D5-16</v>
      </c>
    </row>
    <row r="294" spans="1:17" ht="66" customHeight="1" thickBot="1" x14ac:dyDescent="0.35">
      <c r="A294" s="37" t="s">
        <v>2773</v>
      </c>
      <c r="B294" s="37" t="s">
        <v>2776</v>
      </c>
      <c r="C294" s="37" t="s">
        <v>2777</v>
      </c>
      <c r="D294" s="4" t="s">
        <v>1491</v>
      </c>
      <c r="E294" s="21" t="s">
        <v>1438</v>
      </c>
      <c r="F294" s="4" t="s">
        <v>1439</v>
      </c>
      <c r="G294" s="4" t="s">
        <v>2649</v>
      </c>
      <c r="H294" s="14"/>
      <c r="I294" s="14" t="s">
        <v>951</v>
      </c>
      <c r="J294" s="14" t="s">
        <v>1440</v>
      </c>
      <c r="K294" s="13" t="s">
        <v>11</v>
      </c>
      <c r="L294" s="13" t="s">
        <v>12</v>
      </c>
      <c r="M294" s="23">
        <v>46371</v>
      </c>
      <c r="N294" s="24">
        <v>46491</v>
      </c>
      <c r="O294" s="14" t="s">
        <v>2110</v>
      </c>
      <c r="P294" s="14" t="s">
        <v>2111</v>
      </c>
      <c r="Q294" s="42" t="str">
        <f t="shared" si="4"/>
        <v>https://ec.europa.eu/info/funding-tenders/opportunities/portal/screen/opportunities/topic-details/HORIZON-CL5-2027-03-D5-17</v>
      </c>
    </row>
    <row r="295" spans="1:17" ht="66" customHeight="1" thickBot="1" x14ac:dyDescent="0.35">
      <c r="A295" s="37" t="s">
        <v>2773</v>
      </c>
      <c r="B295" s="37" t="s">
        <v>2776</v>
      </c>
      <c r="C295" s="37" t="s">
        <v>2777</v>
      </c>
      <c r="D295" s="4" t="s">
        <v>1491</v>
      </c>
      <c r="E295" s="21" t="s">
        <v>1441</v>
      </c>
      <c r="F295" s="4" t="s">
        <v>1442</v>
      </c>
      <c r="G295" s="4" t="s">
        <v>2650</v>
      </c>
      <c r="H295" s="14"/>
      <c r="I295" s="14" t="s">
        <v>810</v>
      </c>
      <c r="J295" s="14" t="s">
        <v>1443</v>
      </c>
      <c r="K295" s="13" t="s">
        <v>50</v>
      </c>
      <c r="L295" s="13" t="s">
        <v>12</v>
      </c>
      <c r="M295" s="23">
        <v>46371</v>
      </c>
      <c r="N295" s="24">
        <v>46491</v>
      </c>
      <c r="O295" s="14" t="s">
        <v>2112</v>
      </c>
      <c r="P295" s="14" t="s">
        <v>2113</v>
      </c>
      <c r="Q295" s="42" t="str">
        <f t="shared" si="4"/>
        <v>https://ec.europa.eu/info/funding-tenders/opportunities/portal/screen/opportunities/topic-details/HORIZON-CL5-2027-03-D5-18</v>
      </c>
    </row>
    <row r="296" spans="1:17" ht="66" customHeight="1" thickBot="1" x14ac:dyDescent="0.35">
      <c r="A296" s="37" t="s">
        <v>2773</v>
      </c>
      <c r="B296" s="37" t="s">
        <v>2776</v>
      </c>
      <c r="C296" s="37" t="s">
        <v>2777</v>
      </c>
      <c r="D296" s="4" t="s">
        <v>1491</v>
      </c>
      <c r="E296" s="21" t="s">
        <v>1444</v>
      </c>
      <c r="F296" s="4" t="s">
        <v>1445</v>
      </c>
      <c r="G296" s="4" t="s">
        <v>2651</v>
      </c>
      <c r="H296" s="14"/>
      <c r="I296" s="14" t="s">
        <v>1446</v>
      </c>
      <c r="J296" s="14" t="s">
        <v>1447</v>
      </c>
      <c r="K296" s="13" t="s">
        <v>11</v>
      </c>
      <c r="L296" s="13" t="s">
        <v>35</v>
      </c>
      <c r="M296" s="23">
        <v>46009</v>
      </c>
      <c r="N296" s="24" t="s">
        <v>1418</v>
      </c>
      <c r="O296" s="14" t="s">
        <v>2114</v>
      </c>
      <c r="P296" s="14" t="s">
        <v>2115</v>
      </c>
      <c r="Q296" s="42" t="str">
        <f t="shared" si="4"/>
        <v>https://ec.europa.eu/info/funding-tenders/opportunities/portal/screen/opportunities/topic-details/HORIZON-CL5-2026-06-Two-Stage-D5-19</v>
      </c>
    </row>
    <row r="297" spans="1:17" ht="66" customHeight="1" thickBot="1" x14ac:dyDescent="0.35">
      <c r="A297" s="37" t="s">
        <v>2773</v>
      </c>
      <c r="B297" s="37" t="s">
        <v>2776</v>
      </c>
      <c r="C297" s="37" t="s">
        <v>2777</v>
      </c>
      <c r="D297" s="4" t="s">
        <v>1491</v>
      </c>
      <c r="E297" s="21" t="s">
        <v>1448</v>
      </c>
      <c r="F297" s="4" t="s">
        <v>1449</v>
      </c>
      <c r="G297" s="4" t="s">
        <v>2652</v>
      </c>
      <c r="H297" s="14"/>
      <c r="I297" s="14" t="s">
        <v>99</v>
      </c>
      <c r="J297" s="14" t="s">
        <v>1450</v>
      </c>
      <c r="K297" s="13" t="s">
        <v>11</v>
      </c>
      <c r="L297" s="13" t="s">
        <v>12</v>
      </c>
      <c r="M297" s="23">
        <v>46371</v>
      </c>
      <c r="N297" s="24">
        <v>46491</v>
      </c>
      <c r="O297" s="14" t="s">
        <v>2116</v>
      </c>
      <c r="P297" s="14" t="s">
        <v>2117</v>
      </c>
      <c r="Q297" s="42" t="str">
        <f t="shared" si="4"/>
        <v>https://ec.europa.eu/info/funding-tenders/opportunities/portal/screen/opportunities/topic-details/HORIZON-CL5-2027-03-D5-20</v>
      </c>
    </row>
    <row r="298" spans="1:17" ht="66" customHeight="1" thickBot="1" x14ac:dyDescent="0.35">
      <c r="A298" s="37" t="s">
        <v>2773</v>
      </c>
      <c r="B298" s="37" t="s">
        <v>2776</v>
      </c>
      <c r="C298" s="37" t="s">
        <v>2777</v>
      </c>
      <c r="D298" s="4" t="s">
        <v>1491</v>
      </c>
      <c r="E298" s="21" t="s">
        <v>1451</v>
      </c>
      <c r="F298" s="4" t="s">
        <v>1452</v>
      </c>
      <c r="G298" s="4" t="s">
        <v>2653</v>
      </c>
      <c r="H298" s="14" t="s">
        <v>2438</v>
      </c>
      <c r="I298" s="14" t="s">
        <v>1013</v>
      </c>
      <c r="J298" s="14" t="s">
        <v>1453</v>
      </c>
      <c r="K298" s="13" t="s">
        <v>50</v>
      </c>
      <c r="L298" s="13" t="s">
        <v>12</v>
      </c>
      <c r="M298" s="23">
        <v>46177</v>
      </c>
      <c r="N298" s="24">
        <v>46303</v>
      </c>
      <c r="O298" s="14" t="s">
        <v>2118</v>
      </c>
      <c r="P298" s="14" t="s">
        <v>2119</v>
      </c>
      <c r="Q298" s="42" t="str">
        <f t="shared" si="4"/>
        <v>https://ec.europa.eu/info/funding-tenders/opportunities/portal/screen/opportunities/topic-details/HORIZON-CL5-2026-10-D6-01</v>
      </c>
    </row>
    <row r="299" spans="1:17" ht="66" customHeight="1" thickBot="1" x14ac:dyDescent="0.35">
      <c r="A299" s="37" t="s">
        <v>2773</v>
      </c>
      <c r="B299" s="37" t="s">
        <v>2776</v>
      </c>
      <c r="C299" s="37" t="s">
        <v>2777</v>
      </c>
      <c r="D299" s="4" t="s">
        <v>1491</v>
      </c>
      <c r="E299" s="21" t="s">
        <v>1454</v>
      </c>
      <c r="F299" s="4" t="s">
        <v>1455</v>
      </c>
      <c r="G299" s="4" t="s">
        <v>2654</v>
      </c>
      <c r="H299" s="14" t="s">
        <v>2443</v>
      </c>
      <c r="I299" s="14" t="s">
        <v>844</v>
      </c>
      <c r="J299" s="14" t="s">
        <v>1456</v>
      </c>
      <c r="K299" s="13" t="s">
        <v>11</v>
      </c>
      <c r="L299" s="13" t="s">
        <v>12</v>
      </c>
      <c r="M299" s="23">
        <v>46177</v>
      </c>
      <c r="N299" s="24">
        <v>46303</v>
      </c>
      <c r="O299" s="14" t="s">
        <v>2120</v>
      </c>
      <c r="P299" s="14" t="s">
        <v>2121</v>
      </c>
      <c r="Q299" s="42" t="str">
        <f t="shared" si="4"/>
        <v>https://ec.europa.eu/info/funding-tenders/opportunities/portal/screen/opportunities/topic-details/HORIZON-CL5-2026-10-D6-02</v>
      </c>
    </row>
    <row r="300" spans="1:17" ht="66" customHeight="1" thickBot="1" x14ac:dyDescent="0.35">
      <c r="A300" s="37" t="s">
        <v>2773</v>
      </c>
      <c r="B300" s="37" t="s">
        <v>2776</v>
      </c>
      <c r="C300" s="37" t="s">
        <v>2777</v>
      </c>
      <c r="D300" s="4" t="s">
        <v>1491</v>
      </c>
      <c r="E300" s="21" t="s">
        <v>1457</v>
      </c>
      <c r="F300" s="4" t="s">
        <v>1458</v>
      </c>
      <c r="G300" s="4" t="s">
        <v>2655</v>
      </c>
      <c r="H300" s="14"/>
      <c r="I300" s="14" t="s">
        <v>933</v>
      </c>
      <c r="J300" s="14" t="s">
        <v>1459</v>
      </c>
      <c r="K300" s="13" t="s">
        <v>11</v>
      </c>
      <c r="L300" s="13" t="s">
        <v>12</v>
      </c>
      <c r="M300" s="23">
        <v>46177</v>
      </c>
      <c r="N300" s="24">
        <v>46303</v>
      </c>
      <c r="O300" s="14" t="s">
        <v>2122</v>
      </c>
      <c r="P300" s="14" t="s">
        <v>2123</v>
      </c>
      <c r="Q300" s="42" t="str">
        <f t="shared" si="4"/>
        <v>https://ec.europa.eu/info/funding-tenders/opportunities/portal/screen/opportunities/topic-details/HORIZON-CL5-2026-10-D6-03</v>
      </c>
    </row>
    <row r="301" spans="1:17" ht="66" customHeight="1" thickBot="1" x14ac:dyDescent="0.35">
      <c r="A301" s="37" t="s">
        <v>2773</v>
      </c>
      <c r="B301" s="37" t="s">
        <v>2776</v>
      </c>
      <c r="C301" s="37" t="s">
        <v>2777</v>
      </c>
      <c r="D301" s="4" t="s">
        <v>1491</v>
      </c>
      <c r="E301" s="21" t="s">
        <v>1460</v>
      </c>
      <c r="F301" s="4" t="s">
        <v>1461</v>
      </c>
      <c r="G301" s="4" t="s">
        <v>2656</v>
      </c>
      <c r="H301" s="14" t="s">
        <v>2360</v>
      </c>
      <c r="I301" s="14" t="s">
        <v>907</v>
      </c>
      <c r="J301" s="14" t="s">
        <v>1462</v>
      </c>
      <c r="K301" s="13" t="s">
        <v>11</v>
      </c>
      <c r="L301" s="13" t="s">
        <v>12</v>
      </c>
      <c r="M301" s="23">
        <v>46541</v>
      </c>
      <c r="N301" s="24">
        <v>46667</v>
      </c>
      <c r="O301" s="14" t="s">
        <v>2124</v>
      </c>
      <c r="P301" s="14" t="s">
        <v>2125</v>
      </c>
      <c r="Q301" s="42" t="str">
        <f t="shared" si="4"/>
        <v>https://ec.europa.eu/info/funding-tenders/opportunities/portal/screen/opportunities/topic-details/HORIZON-CL5-2027-06-D6-04</v>
      </c>
    </row>
    <row r="302" spans="1:17" ht="66" customHeight="1" thickBot="1" x14ac:dyDescent="0.35">
      <c r="A302" s="37" t="s">
        <v>2773</v>
      </c>
      <c r="B302" s="37" t="s">
        <v>2776</v>
      </c>
      <c r="C302" s="37" t="s">
        <v>2777</v>
      </c>
      <c r="D302" s="4" t="s">
        <v>1491</v>
      </c>
      <c r="E302" s="21" t="s">
        <v>1463</v>
      </c>
      <c r="F302" s="4" t="s">
        <v>1464</v>
      </c>
      <c r="G302" s="4" t="s">
        <v>2657</v>
      </c>
      <c r="H302" s="14"/>
      <c r="I302" s="14" t="s">
        <v>552</v>
      </c>
      <c r="J302" s="14" t="s">
        <v>1465</v>
      </c>
      <c r="K302" s="13" t="s">
        <v>16</v>
      </c>
      <c r="L302" s="13" t="s">
        <v>12</v>
      </c>
      <c r="M302" s="23">
        <v>46541</v>
      </c>
      <c r="N302" s="24">
        <v>46667</v>
      </c>
      <c r="O302" s="14" t="s">
        <v>2126</v>
      </c>
      <c r="P302" s="14" t="s">
        <v>2127</v>
      </c>
      <c r="Q302" s="42" t="str">
        <f t="shared" si="4"/>
        <v>https://ec.europa.eu/info/funding-tenders/opportunities/portal/screen/opportunities/topic-details/HORIZON-CL5-2027-06-D6-05</v>
      </c>
    </row>
    <row r="303" spans="1:17" ht="66" customHeight="1" thickBot="1" x14ac:dyDescent="0.35">
      <c r="A303" s="37" t="s">
        <v>2773</v>
      </c>
      <c r="B303" s="37" t="s">
        <v>2776</v>
      </c>
      <c r="C303" s="37" t="s">
        <v>2777</v>
      </c>
      <c r="D303" s="4" t="s">
        <v>1491</v>
      </c>
      <c r="E303" s="21" t="s">
        <v>1466</v>
      </c>
      <c r="F303" s="4" t="s">
        <v>1467</v>
      </c>
      <c r="G303" s="4" t="s">
        <v>2658</v>
      </c>
      <c r="H303" s="14"/>
      <c r="I303" s="14" t="s">
        <v>393</v>
      </c>
      <c r="J303" s="14" t="s">
        <v>1468</v>
      </c>
      <c r="K303" s="13" t="s">
        <v>50</v>
      </c>
      <c r="L303" s="13" t="s">
        <v>12</v>
      </c>
      <c r="M303" s="23">
        <v>46177</v>
      </c>
      <c r="N303" s="24">
        <v>46303</v>
      </c>
      <c r="O303" s="14" t="s">
        <v>2128</v>
      </c>
      <c r="P303" s="14" t="s">
        <v>2129</v>
      </c>
      <c r="Q303" s="42" t="str">
        <f t="shared" si="4"/>
        <v>https://ec.europa.eu/info/funding-tenders/opportunities/portal/screen/opportunities/topic-details/HORIZON-CL5-2026-10-D6-06</v>
      </c>
    </row>
    <row r="304" spans="1:17" ht="66" customHeight="1" thickBot="1" x14ac:dyDescent="0.35">
      <c r="A304" s="37" t="s">
        <v>2773</v>
      </c>
      <c r="B304" s="37" t="s">
        <v>2776</v>
      </c>
      <c r="C304" s="37" t="s">
        <v>2777</v>
      </c>
      <c r="D304" s="4" t="s">
        <v>1491</v>
      </c>
      <c r="E304" s="21" t="s">
        <v>1469</v>
      </c>
      <c r="F304" s="4" t="s">
        <v>1470</v>
      </c>
      <c r="G304" s="4" t="s">
        <v>2659</v>
      </c>
      <c r="H304" s="14"/>
      <c r="I304" s="14" t="s">
        <v>361</v>
      </c>
      <c r="J304" s="14" t="s">
        <v>1471</v>
      </c>
      <c r="K304" s="13" t="s">
        <v>16</v>
      </c>
      <c r="L304" s="13" t="s">
        <v>12</v>
      </c>
      <c r="M304" s="23">
        <v>46177</v>
      </c>
      <c r="N304" s="24">
        <v>46303</v>
      </c>
      <c r="O304" s="14" t="s">
        <v>2130</v>
      </c>
      <c r="P304" s="14" t="s">
        <v>2131</v>
      </c>
      <c r="Q304" s="42" t="str">
        <f t="shared" si="4"/>
        <v>https://ec.europa.eu/info/funding-tenders/opportunities/portal/screen/opportunities/topic-details/HORIZON-CL5-2026-10-D6-07</v>
      </c>
    </row>
    <row r="305" spans="1:17" ht="66" customHeight="1" thickBot="1" x14ac:dyDescent="0.35">
      <c r="A305" s="37" t="s">
        <v>2773</v>
      </c>
      <c r="B305" s="37" t="s">
        <v>2776</v>
      </c>
      <c r="C305" s="37" t="s">
        <v>2777</v>
      </c>
      <c r="D305" s="4" t="s">
        <v>1491</v>
      </c>
      <c r="E305" s="21" t="s">
        <v>1472</v>
      </c>
      <c r="F305" s="4" t="s">
        <v>1473</v>
      </c>
      <c r="G305" s="4" t="s">
        <v>2660</v>
      </c>
      <c r="H305" s="14" t="s">
        <v>2444</v>
      </c>
      <c r="I305" s="14" t="s">
        <v>361</v>
      </c>
      <c r="J305" s="14" t="s">
        <v>1474</v>
      </c>
      <c r="K305" s="13" t="s">
        <v>50</v>
      </c>
      <c r="L305" s="13" t="s">
        <v>12</v>
      </c>
      <c r="M305" s="23">
        <v>46541</v>
      </c>
      <c r="N305" s="24">
        <v>46667</v>
      </c>
      <c r="O305" s="14" t="s">
        <v>2132</v>
      </c>
      <c r="P305" s="14" t="s">
        <v>2133</v>
      </c>
      <c r="Q305" s="42" t="str">
        <f t="shared" si="4"/>
        <v>https://ec.europa.eu/info/funding-tenders/opportunities/portal/screen/opportunities/topic-details/HORIZON-CL5-2027-06-D6-08</v>
      </c>
    </row>
    <row r="306" spans="1:17" ht="66" customHeight="1" thickBot="1" x14ac:dyDescent="0.35">
      <c r="A306" s="37" t="s">
        <v>2773</v>
      </c>
      <c r="B306" s="37" t="s">
        <v>2776</v>
      </c>
      <c r="C306" s="37" t="s">
        <v>2777</v>
      </c>
      <c r="D306" s="4" t="s">
        <v>1491</v>
      </c>
      <c r="E306" s="21" t="s">
        <v>1475</v>
      </c>
      <c r="F306" s="4" t="s">
        <v>1476</v>
      </c>
      <c r="G306" s="4" t="s">
        <v>2661</v>
      </c>
      <c r="H306" s="14"/>
      <c r="I306" s="14" t="s">
        <v>393</v>
      </c>
      <c r="J306" s="14" t="s">
        <v>1477</v>
      </c>
      <c r="K306" s="13" t="s">
        <v>50</v>
      </c>
      <c r="L306" s="13" t="s">
        <v>12</v>
      </c>
      <c r="M306" s="23">
        <v>46177</v>
      </c>
      <c r="N306" s="24">
        <v>46303</v>
      </c>
      <c r="O306" s="14" t="s">
        <v>2134</v>
      </c>
      <c r="P306" s="14" t="s">
        <v>2135</v>
      </c>
      <c r="Q306" s="42" t="str">
        <f t="shared" si="4"/>
        <v>https://ec.europa.eu/info/funding-tenders/opportunities/portal/screen/opportunities/topic-details/HORIZON-CL5-2026-10-D6-09</v>
      </c>
    </row>
    <row r="307" spans="1:17" ht="66" customHeight="1" thickBot="1" x14ac:dyDescent="0.35">
      <c r="A307" s="37" t="s">
        <v>2773</v>
      </c>
      <c r="B307" s="37" t="s">
        <v>2776</v>
      </c>
      <c r="C307" s="37" t="s">
        <v>2777</v>
      </c>
      <c r="D307" s="4" t="s">
        <v>1491</v>
      </c>
      <c r="E307" s="21" t="s">
        <v>1478</v>
      </c>
      <c r="F307" s="4" t="s">
        <v>1479</v>
      </c>
      <c r="G307" s="4" t="s">
        <v>2662</v>
      </c>
      <c r="H307" s="14"/>
      <c r="I307" s="14" t="s">
        <v>794</v>
      </c>
      <c r="J307" s="14" t="s">
        <v>1480</v>
      </c>
      <c r="K307" s="13" t="s">
        <v>50</v>
      </c>
      <c r="L307" s="13" t="s">
        <v>12</v>
      </c>
      <c r="M307" s="23">
        <v>46177</v>
      </c>
      <c r="N307" s="24">
        <v>46303</v>
      </c>
      <c r="O307" s="14" t="s">
        <v>2136</v>
      </c>
      <c r="P307" s="14" t="s">
        <v>2137</v>
      </c>
      <c r="Q307" s="42" t="str">
        <f t="shared" si="4"/>
        <v>https://ec.europa.eu/info/funding-tenders/opportunities/portal/screen/opportunities/topic-details/HORIZON-CL5-2026-10-D6-10</v>
      </c>
    </row>
    <row r="308" spans="1:17" ht="66" customHeight="1" thickBot="1" x14ac:dyDescent="0.35">
      <c r="A308" s="37" t="s">
        <v>2773</v>
      </c>
      <c r="B308" s="37" t="s">
        <v>2776</v>
      </c>
      <c r="C308" s="37" t="s">
        <v>2777</v>
      </c>
      <c r="D308" s="4" t="s">
        <v>1491</v>
      </c>
      <c r="E308" s="21" t="s">
        <v>1481</v>
      </c>
      <c r="F308" s="4" t="s">
        <v>1482</v>
      </c>
      <c r="G308" s="4" t="s">
        <v>2663</v>
      </c>
      <c r="H308" s="14"/>
      <c r="I308" s="14" t="s">
        <v>810</v>
      </c>
      <c r="J308" s="14" t="s">
        <v>1483</v>
      </c>
      <c r="K308" s="13" t="s">
        <v>50</v>
      </c>
      <c r="L308" s="13" t="s">
        <v>12</v>
      </c>
      <c r="M308" s="23">
        <v>46541</v>
      </c>
      <c r="N308" s="24">
        <v>46667</v>
      </c>
      <c r="O308" s="14" t="s">
        <v>2138</v>
      </c>
      <c r="P308" s="14" t="s">
        <v>2139</v>
      </c>
      <c r="Q308" s="42" t="str">
        <f t="shared" si="4"/>
        <v>https://ec.europa.eu/info/funding-tenders/opportunities/portal/screen/opportunities/topic-details/HORIZON-CL5-2027-06-D6-11</v>
      </c>
    </row>
    <row r="309" spans="1:17" ht="66" customHeight="1" thickBot="1" x14ac:dyDescent="0.35">
      <c r="A309" s="37" t="s">
        <v>2773</v>
      </c>
      <c r="B309" s="37" t="s">
        <v>2776</v>
      </c>
      <c r="C309" s="37" t="s">
        <v>2777</v>
      </c>
      <c r="D309" s="4" t="s">
        <v>1491</v>
      </c>
      <c r="E309" s="21" t="s">
        <v>1484</v>
      </c>
      <c r="F309" s="4" t="s">
        <v>1485</v>
      </c>
      <c r="G309" s="4" t="s">
        <v>2664</v>
      </c>
      <c r="H309" s="14"/>
      <c r="I309" s="14" t="s">
        <v>382</v>
      </c>
      <c r="J309" s="14" t="s">
        <v>1486</v>
      </c>
      <c r="K309" s="13" t="s">
        <v>16</v>
      </c>
      <c r="L309" s="13" t="s">
        <v>12</v>
      </c>
      <c r="M309" s="23">
        <v>46541</v>
      </c>
      <c r="N309" s="24">
        <v>46667</v>
      </c>
      <c r="O309" s="14" t="s">
        <v>2140</v>
      </c>
      <c r="P309" s="14" t="s">
        <v>2141</v>
      </c>
      <c r="Q309" s="42" t="str">
        <f t="shared" si="4"/>
        <v>https://ec.europa.eu/info/funding-tenders/opportunities/portal/screen/opportunities/topic-details/HORIZON-CL5-2027-06-D6-12</v>
      </c>
    </row>
    <row r="310" spans="1:17" ht="66" customHeight="1" thickBot="1" x14ac:dyDescent="0.35">
      <c r="A310" s="37" t="s">
        <v>2773</v>
      </c>
      <c r="B310" s="37" t="s">
        <v>2776</v>
      </c>
      <c r="C310" s="37" t="s">
        <v>2777</v>
      </c>
      <c r="D310" s="4" t="s">
        <v>1492</v>
      </c>
      <c r="E310" s="21" t="s">
        <v>183</v>
      </c>
      <c r="F310" s="4" t="s">
        <v>184</v>
      </c>
      <c r="G310" s="4" t="s">
        <v>2665</v>
      </c>
      <c r="H310" s="14"/>
      <c r="I310" s="14" t="s">
        <v>185</v>
      </c>
      <c r="J310" s="14" t="s">
        <v>186</v>
      </c>
      <c r="K310" s="13" t="s">
        <v>11</v>
      </c>
      <c r="L310" s="13" t="s">
        <v>12</v>
      </c>
      <c r="M310" s="23">
        <v>46129</v>
      </c>
      <c r="N310" s="24">
        <v>46282</v>
      </c>
      <c r="O310" s="14" t="s">
        <v>2142</v>
      </c>
      <c r="P310" s="14" t="s">
        <v>2143</v>
      </c>
      <c r="Q310" s="42" t="str">
        <f t="shared" si="4"/>
        <v>https://ec.europa.eu/info/funding-tenders/opportunities/portal/screen/opportunities/topic-details/HORIZON-CL6-2026-01-BIODIV-01</v>
      </c>
    </row>
    <row r="311" spans="1:17" ht="66" customHeight="1" thickBot="1" x14ac:dyDescent="0.35">
      <c r="A311" s="37" t="s">
        <v>2773</v>
      </c>
      <c r="B311" s="37" t="s">
        <v>2776</v>
      </c>
      <c r="C311" s="37" t="s">
        <v>2777</v>
      </c>
      <c r="D311" s="4" t="s">
        <v>1492</v>
      </c>
      <c r="E311" s="21" t="s">
        <v>187</v>
      </c>
      <c r="F311" s="4" t="s">
        <v>188</v>
      </c>
      <c r="G311" s="4" t="s">
        <v>2666</v>
      </c>
      <c r="H311" s="14"/>
      <c r="I311" s="14" t="s">
        <v>189</v>
      </c>
      <c r="J311" s="14" t="s">
        <v>190</v>
      </c>
      <c r="K311" s="13" t="s">
        <v>11</v>
      </c>
      <c r="L311" s="13" t="s">
        <v>12</v>
      </c>
      <c r="M311" s="23">
        <v>46129</v>
      </c>
      <c r="N311" s="24">
        <v>46282</v>
      </c>
      <c r="O311" s="14" t="s">
        <v>2144</v>
      </c>
      <c r="P311" s="14" t="s">
        <v>2145</v>
      </c>
      <c r="Q311" s="42" t="str">
        <f t="shared" si="4"/>
        <v>https://ec.europa.eu/info/funding-tenders/opportunities/portal/screen/opportunities/topic-details/HORIZON-CL6-2026-01-BIODIV-02</v>
      </c>
    </row>
    <row r="312" spans="1:17" ht="66" customHeight="1" thickBot="1" x14ac:dyDescent="0.35">
      <c r="A312" s="37" t="s">
        <v>2773</v>
      </c>
      <c r="B312" s="37" t="s">
        <v>2776</v>
      </c>
      <c r="C312" s="37" t="s">
        <v>2777</v>
      </c>
      <c r="D312" s="4" t="s">
        <v>1492</v>
      </c>
      <c r="E312" s="21" t="s">
        <v>191</v>
      </c>
      <c r="F312" s="4" t="s">
        <v>192</v>
      </c>
      <c r="G312" s="4" t="s">
        <v>2667</v>
      </c>
      <c r="H312" s="14"/>
      <c r="I312" s="14" t="s">
        <v>193</v>
      </c>
      <c r="J312" s="14" t="s">
        <v>194</v>
      </c>
      <c r="K312" s="13" t="s">
        <v>11</v>
      </c>
      <c r="L312" s="13" t="s">
        <v>12</v>
      </c>
      <c r="M312" s="23">
        <v>46129</v>
      </c>
      <c r="N312" s="24">
        <v>46282</v>
      </c>
      <c r="O312" s="14" t="s">
        <v>2146</v>
      </c>
      <c r="P312" s="14" t="s">
        <v>2147</v>
      </c>
      <c r="Q312" s="42" t="str">
        <f t="shared" si="4"/>
        <v>https://ec.europa.eu/info/funding-tenders/opportunities/portal/screen/opportunities/topic-details/HORIZON-CL6-2026-01-BIODIV-03</v>
      </c>
    </row>
    <row r="313" spans="1:17" ht="66" customHeight="1" thickBot="1" x14ac:dyDescent="0.35">
      <c r="A313" s="37" t="s">
        <v>2773</v>
      </c>
      <c r="B313" s="37" t="s">
        <v>2776</v>
      </c>
      <c r="C313" s="37" t="s">
        <v>2777</v>
      </c>
      <c r="D313" s="4" t="s">
        <v>1492</v>
      </c>
      <c r="E313" s="21" t="s">
        <v>195</v>
      </c>
      <c r="F313" s="4" t="s">
        <v>196</v>
      </c>
      <c r="G313" s="4" t="s">
        <v>2668</v>
      </c>
      <c r="H313" s="14" t="s">
        <v>2438</v>
      </c>
      <c r="I313" s="14" t="s">
        <v>197</v>
      </c>
      <c r="J313" s="14" t="s">
        <v>198</v>
      </c>
      <c r="K313" s="13" t="s">
        <v>11</v>
      </c>
      <c r="L313" s="13" t="s">
        <v>12</v>
      </c>
      <c r="M313" s="23">
        <v>46129</v>
      </c>
      <c r="N313" s="24">
        <v>46282</v>
      </c>
      <c r="O313" s="14" t="s">
        <v>2148</v>
      </c>
      <c r="P313" s="14" t="s">
        <v>2149</v>
      </c>
      <c r="Q313" s="42" t="str">
        <f t="shared" si="4"/>
        <v>https://ec.europa.eu/info/funding-tenders/opportunities/portal/screen/opportunities/topic-details/HORIZON-CL6-2026-01-BIODIV-04</v>
      </c>
    </row>
    <row r="314" spans="1:17" ht="66" customHeight="1" thickBot="1" x14ac:dyDescent="0.35">
      <c r="A314" s="37" t="s">
        <v>2773</v>
      </c>
      <c r="B314" s="37" t="s">
        <v>2776</v>
      </c>
      <c r="C314" s="37" t="s">
        <v>2777</v>
      </c>
      <c r="D314" s="4" t="s">
        <v>1492</v>
      </c>
      <c r="E314" s="21" t="s">
        <v>199</v>
      </c>
      <c r="F314" s="4" t="s">
        <v>200</v>
      </c>
      <c r="G314" s="4" t="s">
        <v>2669</v>
      </c>
      <c r="H314" s="14" t="s">
        <v>2414</v>
      </c>
      <c r="I314" s="14" t="s">
        <v>201</v>
      </c>
      <c r="J314" s="14" t="s">
        <v>202</v>
      </c>
      <c r="K314" s="13" t="s">
        <v>11</v>
      </c>
      <c r="L314" s="13" t="s">
        <v>12</v>
      </c>
      <c r="M314" s="23">
        <v>46129</v>
      </c>
      <c r="N314" s="24">
        <v>46282</v>
      </c>
      <c r="O314" s="14" t="s">
        <v>2150</v>
      </c>
      <c r="P314" s="14" t="s">
        <v>2151</v>
      </c>
      <c r="Q314" s="42" t="str">
        <f t="shared" si="4"/>
        <v>https://ec.europa.eu/info/funding-tenders/opportunities/portal/screen/opportunities/topic-details/HORIZON-CL6-2026-01-BIODIV-05</v>
      </c>
    </row>
    <row r="315" spans="1:17" ht="66" customHeight="1" thickBot="1" x14ac:dyDescent="0.35">
      <c r="A315" s="37" t="s">
        <v>2773</v>
      </c>
      <c r="B315" s="37" t="s">
        <v>2776</v>
      </c>
      <c r="C315" s="37" t="s">
        <v>2777</v>
      </c>
      <c r="D315" s="4" t="s">
        <v>1492</v>
      </c>
      <c r="E315" s="21" t="s">
        <v>203</v>
      </c>
      <c r="F315" s="4" t="s">
        <v>204</v>
      </c>
      <c r="G315" s="4" t="s">
        <v>2670</v>
      </c>
      <c r="H315" s="14"/>
      <c r="I315" s="14" t="s">
        <v>205</v>
      </c>
      <c r="J315" s="14" t="s">
        <v>206</v>
      </c>
      <c r="K315" s="13" t="s">
        <v>11</v>
      </c>
      <c r="L315" s="13" t="s">
        <v>12</v>
      </c>
      <c r="M315" s="23">
        <v>46129</v>
      </c>
      <c r="N315" s="24">
        <v>46282</v>
      </c>
      <c r="O315" s="14" t="s">
        <v>2152</v>
      </c>
      <c r="P315" s="14" t="s">
        <v>2153</v>
      </c>
      <c r="Q315" s="42" t="str">
        <f t="shared" si="4"/>
        <v>https://ec.europa.eu/info/funding-tenders/opportunities/portal/screen/opportunities/topic-details/HORIZON-CL6-2026-01-BIODIV-06</v>
      </c>
    </row>
    <row r="316" spans="1:17" ht="66" customHeight="1" thickBot="1" x14ac:dyDescent="0.35">
      <c r="A316" s="37" t="s">
        <v>2773</v>
      </c>
      <c r="B316" s="37" t="s">
        <v>2776</v>
      </c>
      <c r="C316" s="37" t="s">
        <v>2777</v>
      </c>
      <c r="D316" s="4" t="s">
        <v>1492</v>
      </c>
      <c r="E316" s="21" t="s">
        <v>207</v>
      </c>
      <c r="F316" s="4" t="s">
        <v>208</v>
      </c>
      <c r="G316" s="4" t="s">
        <v>2671</v>
      </c>
      <c r="H316" s="14" t="s">
        <v>2438</v>
      </c>
      <c r="I316" s="14" t="s">
        <v>197</v>
      </c>
      <c r="J316" s="14" t="s">
        <v>209</v>
      </c>
      <c r="K316" s="13" t="s">
        <v>11</v>
      </c>
      <c r="L316" s="13" t="s">
        <v>35</v>
      </c>
      <c r="M316" s="23">
        <v>46065</v>
      </c>
      <c r="N316" s="24" t="s">
        <v>210</v>
      </c>
      <c r="O316" s="14" t="s">
        <v>2154</v>
      </c>
      <c r="P316" s="14" t="s">
        <v>2155</v>
      </c>
      <c r="Q316" s="42" t="str">
        <f t="shared" si="4"/>
        <v>https://ec.europa.eu/info/funding-tenders/opportunities/portal/screen/opportunities/topic-details/HORIZON-CL6-2026-01-BIODIV-01-two-stage</v>
      </c>
    </row>
    <row r="317" spans="1:17" ht="66" customHeight="1" thickBot="1" x14ac:dyDescent="0.35">
      <c r="A317" s="37" t="s">
        <v>2773</v>
      </c>
      <c r="B317" s="37" t="s">
        <v>2776</v>
      </c>
      <c r="C317" s="37" t="s">
        <v>2777</v>
      </c>
      <c r="D317" s="4" t="s">
        <v>1492</v>
      </c>
      <c r="E317" s="21" t="s">
        <v>211</v>
      </c>
      <c r="F317" s="4" t="s">
        <v>212</v>
      </c>
      <c r="G317" s="4" t="s">
        <v>2672</v>
      </c>
      <c r="H317" s="14"/>
      <c r="I317" s="14" t="s">
        <v>185</v>
      </c>
      <c r="J317" s="14" t="s">
        <v>213</v>
      </c>
      <c r="K317" s="13" t="s">
        <v>11</v>
      </c>
      <c r="L317" s="13" t="s">
        <v>35</v>
      </c>
      <c r="M317" s="23">
        <v>46065</v>
      </c>
      <c r="N317" s="24" t="s">
        <v>210</v>
      </c>
      <c r="O317" s="14" t="s">
        <v>2156</v>
      </c>
      <c r="P317" s="14" t="s">
        <v>2157</v>
      </c>
      <c r="Q317" s="42" t="str">
        <f t="shared" si="4"/>
        <v>https://ec.europa.eu/info/funding-tenders/opportunities/portal/screen/opportunities/topic-details/HORIZON-CL6-2026-01-BIODIV-02-two-stage</v>
      </c>
    </row>
    <row r="318" spans="1:17" ht="66" customHeight="1" thickBot="1" x14ac:dyDescent="0.35">
      <c r="A318" s="37" t="s">
        <v>2773</v>
      </c>
      <c r="B318" s="37" t="s">
        <v>2776</v>
      </c>
      <c r="C318" s="37" t="s">
        <v>2777</v>
      </c>
      <c r="D318" s="4" t="s">
        <v>1492</v>
      </c>
      <c r="E318" s="21" t="s">
        <v>214</v>
      </c>
      <c r="F318" s="4" t="s">
        <v>215</v>
      </c>
      <c r="G318" s="4" t="s">
        <v>2673</v>
      </c>
      <c r="H318" s="14" t="s">
        <v>2445</v>
      </c>
      <c r="I318" s="14" t="s">
        <v>216</v>
      </c>
      <c r="J318" s="14" t="s">
        <v>217</v>
      </c>
      <c r="K318" s="13" t="s">
        <v>50</v>
      </c>
      <c r="L318" s="13" t="s">
        <v>35</v>
      </c>
      <c r="M318" s="23">
        <v>46065</v>
      </c>
      <c r="N318" s="24" t="s">
        <v>210</v>
      </c>
      <c r="O318" s="14" t="s">
        <v>2158</v>
      </c>
      <c r="P318" s="14" t="s">
        <v>2159</v>
      </c>
      <c r="Q318" s="42" t="str">
        <f t="shared" si="4"/>
        <v>https://ec.europa.eu/info/funding-tenders/opportunities/portal/screen/opportunities/topic-details/HORIZON-CL6-2026-01-BIODIV-03-two-stage</v>
      </c>
    </row>
    <row r="319" spans="1:17" ht="66" customHeight="1" thickBot="1" x14ac:dyDescent="0.35">
      <c r="A319" s="37" t="s">
        <v>2773</v>
      </c>
      <c r="B319" s="37" t="s">
        <v>2776</v>
      </c>
      <c r="C319" s="37" t="s">
        <v>2777</v>
      </c>
      <c r="D319" s="4" t="s">
        <v>1492</v>
      </c>
      <c r="E319" s="21" t="s">
        <v>218</v>
      </c>
      <c r="F319" s="4" t="s">
        <v>219</v>
      </c>
      <c r="G319" s="4" t="s">
        <v>2674</v>
      </c>
      <c r="H319" s="14" t="s">
        <v>2438</v>
      </c>
      <c r="I319" s="14" t="s">
        <v>220</v>
      </c>
      <c r="J319" s="14" t="s">
        <v>221</v>
      </c>
      <c r="K319" s="13" t="s">
        <v>11</v>
      </c>
      <c r="L319" s="13" t="s">
        <v>35</v>
      </c>
      <c r="M319" s="23">
        <v>46065</v>
      </c>
      <c r="N319" s="24" t="s">
        <v>210</v>
      </c>
      <c r="O319" s="14" t="s">
        <v>2160</v>
      </c>
      <c r="P319" s="14" t="s">
        <v>2161</v>
      </c>
      <c r="Q319" s="42" t="str">
        <f t="shared" si="4"/>
        <v>https://ec.europa.eu/info/funding-tenders/opportunities/portal/screen/opportunities/topic-details/HORIZON-CL6-2026-01-BIODIV-04-two-stage</v>
      </c>
    </row>
    <row r="320" spans="1:17" ht="66" customHeight="1" thickBot="1" x14ac:dyDescent="0.35">
      <c r="A320" s="37" t="s">
        <v>2773</v>
      </c>
      <c r="B320" s="37" t="s">
        <v>2776</v>
      </c>
      <c r="C320" s="37" t="s">
        <v>2777</v>
      </c>
      <c r="D320" s="4" t="s">
        <v>1492</v>
      </c>
      <c r="E320" s="21" t="s">
        <v>222</v>
      </c>
      <c r="F320" s="4" t="s">
        <v>223</v>
      </c>
      <c r="G320" s="4" t="s">
        <v>2675</v>
      </c>
      <c r="H320" s="14"/>
      <c r="I320" s="14" t="s">
        <v>224</v>
      </c>
      <c r="J320" s="14" t="s">
        <v>225</v>
      </c>
      <c r="K320" s="13" t="s">
        <v>11</v>
      </c>
      <c r="L320" s="13" t="s">
        <v>12</v>
      </c>
      <c r="M320" s="23">
        <v>46497</v>
      </c>
      <c r="N320" s="24">
        <v>46652</v>
      </c>
      <c r="O320" s="14" t="s">
        <v>2162</v>
      </c>
      <c r="P320" s="14" t="s">
        <v>2163</v>
      </c>
      <c r="Q320" s="42" t="str">
        <f t="shared" si="4"/>
        <v>https://ec.europa.eu/info/funding-tenders/opportunities/portal/screen/opportunities/topic-details/HORIZON-CL6-2027-01-BIODIV-01</v>
      </c>
    </row>
    <row r="321" spans="1:17" ht="66" customHeight="1" thickBot="1" x14ac:dyDescent="0.35">
      <c r="A321" s="37" t="s">
        <v>2773</v>
      </c>
      <c r="B321" s="37" t="s">
        <v>2776</v>
      </c>
      <c r="C321" s="37" t="s">
        <v>2777</v>
      </c>
      <c r="D321" s="4" t="s">
        <v>1492</v>
      </c>
      <c r="E321" s="21" t="s">
        <v>226</v>
      </c>
      <c r="F321" s="4" t="s">
        <v>227</v>
      </c>
      <c r="G321" s="4" t="s">
        <v>2676</v>
      </c>
      <c r="H321" s="14"/>
      <c r="I321" s="14" t="s">
        <v>228</v>
      </c>
      <c r="J321" s="14" t="s">
        <v>229</v>
      </c>
      <c r="K321" s="13" t="s">
        <v>16</v>
      </c>
      <c r="L321" s="13" t="s">
        <v>12</v>
      </c>
      <c r="M321" s="23">
        <v>46497</v>
      </c>
      <c r="N321" s="24">
        <v>46652</v>
      </c>
      <c r="O321" s="14" t="s">
        <v>2164</v>
      </c>
      <c r="P321" s="14" t="s">
        <v>2165</v>
      </c>
      <c r="Q321" s="42" t="str">
        <f t="shared" si="4"/>
        <v>https://ec.europa.eu/info/funding-tenders/opportunities/portal/screen/opportunities/topic-details/HORIZON-CL6-2027-01-BIODIV-02</v>
      </c>
    </row>
    <row r="322" spans="1:17" ht="66" customHeight="1" thickBot="1" x14ac:dyDescent="0.35">
      <c r="A322" s="37" t="s">
        <v>2773</v>
      </c>
      <c r="B322" s="37" t="s">
        <v>2776</v>
      </c>
      <c r="C322" s="37" t="s">
        <v>2777</v>
      </c>
      <c r="D322" s="4" t="s">
        <v>1492</v>
      </c>
      <c r="E322" s="21" t="s">
        <v>230</v>
      </c>
      <c r="F322" s="4" t="s">
        <v>231</v>
      </c>
      <c r="G322" s="4" t="s">
        <v>2677</v>
      </c>
      <c r="H322" s="14"/>
      <c r="I322" s="14" t="s">
        <v>232</v>
      </c>
      <c r="J322" s="14" t="s">
        <v>233</v>
      </c>
      <c r="K322" s="13" t="s">
        <v>50</v>
      </c>
      <c r="L322" s="13" t="s">
        <v>12</v>
      </c>
      <c r="M322" s="23">
        <v>46497</v>
      </c>
      <c r="N322" s="24">
        <v>46652</v>
      </c>
      <c r="O322" s="14" t="s">
        <v>2166</v>
      </c>
      <c r="P322" s="14" t="s">
        <v>2167</v>
      </c>
      <c r="Q322" s="42" t="str">
        <f t="shared" si="4"/>
        <v>https://ec.europa.eu/info/funding-tenders/opportunities/portal/screen/opportunities/topic-details/HORIZON-CL6-2027-01-BIODIV-03</v>
      </c>
    </row>
    <row r="323" spans="1:17" ht="66" customHeight="1" thickBot="1" x14ac:dyDescent="0.35">
      <c r="A323" s="37" t="s">
        <v>2773</v>
      </c>
      <c r="B323" s="37" t="s">
        <v>2776</v>
      </c>
      <c r="C323" s="37" t="s">
        <v>2777</v>
      </c>
      <c r="D323" s="4" t="s">
        <v>1492</v>
      </c>
      <c r="E323" s="21" t="s">
        <v>234</v>
      </c>
      <c r="F323" s="4" t="s">
        <v>235</v>
      </c>
      <c r="G323" s="4" t="s">
        <v>2678</v>
      </c>
      <c r="H323" s="14" t="s">
        <v>2439</v>
      </c>
      <c r="I323" s="14" t="s">
        <v>185</v>
      </c>
      <c r="J323" s="14" t="s">
        <v>236</v>
      </c>
      <c r="K323" s="13" t="s">
        <v>11</v>
      </c>
      <c r="L323" s="13" t="s">
        <v>12</v>
      </c>
      <c r="M323" s="23">
        <v>46497</v>
      </c>
      <c r="N323" s="24">
        <v>46652</v>
      </c>
      <c r="O323" s="14" t="s">
        <v>2168</v>
      </c>
      <c r="P323" s="14" t="s">
        <v>2169</v>
      </c>
      <c r="Q323" s="42" t="str">
        <f t="shared" si="4"/>
        <v>https://ec.europa.eu/info/funding-tenders/opportunities/portal/screen/opportunities/topic-details/HORIZON-CL6-2027-01-BIODIV-04</v>
      </c>
    </row>
    <row r="324" spans="1:17" ht="66" customHeight="1" thickBot="1" x14ac:dyDescent="0.35">
      <c r="A324" s="37" t="s">
        <v>2773</v>
      </c>
      <c r="B324" s="37" t="s">
        <v>2776</v>
      </c>
      <c r="C324" s="37" t="s">
        <v>2777</v>
      </c>
      <c r="D324" s="4" t="s">
        <v>1492</v>
      </c>
      <c r="E324" s="21" t="s">
        <v>237</v>
      </c>
      <c r="F324" s="4" t="s">
        <v>238</v>
      </c>
      <c r="G324" s="4" t="s">
        <v>2679</v>
      </c>
      <c r="H324" s="14" t="s">
        <v>2446</v>
      </c>
      <c r="I324" s="14" t="s">
        <v>239</v>
      </c>
      <c r="J324" s="14" t="s">
        <v>240</v>
      </c>
      <c r="K324" s="13" t="s">
        <v>11</v>
      </c>
      <c r="L324" s="13" t="s">
        <v>12</v>
      </c>
      <c r="M324" s="23">
        <v>46497</v>
      </c>
      <c r="N324" s="24">
        <v>46652</v>
      </c>
      <c r="O324" s="14" t="s">
        <v>2170</v>
      </c>
      <c r="P324" s="14" t="s">
        <v>2171</v>
      </c>
      <c r="Q324" s="42" t="str">
        <f t="shared" si="4"/>
        <v>https://ec.europa.eu/info/funding-tenders/opportunities/portal/screen/opportunities/topic-details/HORIZON-CL6-2027-01-BIODIV-05</v>
      </c>
    </row>
    <row r="325" spans="1:17" ht="66" customHeight="1" thickBot="1" x14ac:dyDescent="0.35">
      <c r="A325" s="37" t="s">
        <v>2773</v>
      </c>
      <c r="B325" s="37" t="s">
        <v>2776</v>
      </c>
      <c r="C325" s="37" t="s">
        <v>2777</v>
      </c>
      <c r="D325" s="4" t="s">
        <v>1492</v>
      </c>
      <c r="E325" s="21" t="s">
        <v>241</v>
      </c>
      <c r="F325" s="4" t="s">
        <v>242</v>
      </c>
      <c r="G325" s="4" t="s">
        <v>2680</v>
      </c>
      <c r="H325" s="14" t="s">
        <v>2447</v>
      </c>
      <c r="I325" s="14" t="s">
        <v>243</v>
      </c>
      <c r="J325" s="14" t="s">
        <v>244</v>
      </c>
      <c r="K325" s="13" t="s">
        <v>11</v>
      </c>
      <c r="L325" s="13" t="s">
        <v>12</v>
      </c>
      <c r="M325" s="23">
        <v>46497</v>
      </c>
      <c r="N325" s="24">
        <v>46652</v>
      </c>
      <c r="O325" s="14" t="s">
        <v>2172</v>
      </c>
      <c r="P325" s="14" t="s">
        <v>2173</v>
      </c>
      <c r="Q325" s="42" t="str">
        <f t="shared" si="4"/>
        <v>https://ec.europa.eu/info/funding-tenders/opportunities/portal/screen/opportunities/topic-details/HORIZON-CL6-2027-01-BIODIV-06</v>
      </c>
    </row>
    <row r="326" spans="1:17" ht="66" customHeight="1" thickBot="1" x14ac:dyDescent="0.35">
      <c r="A326" s="37" t="s">
        <v>2773</v>
      </c>
      <c r="B326" s="37" t="s">
        <v>2776</v>
      </c>
      <c r="C326" s="37" t="s">
        <v>2777</v>
      </c>
      <c r="D326" s="4" t="s">
        <v>1492</v>
      </c>
      <c r="E326" s="21" t="s">
        <v>245</v>
      </c>
      <c r="F326" s="4" t="s">
        <v>246</v>
      </c>
      <c r="G326" s="4" t="s">
        <v>2681</v>
      </c>
      <c r="H326" s="14" t="s">
        <v>2448</v>
      </c>
      <c r="I326" s="14" t="s">
        <v>247</v>
      </c>
      <c r="J326" s="14" t="s">
        <v>248</v>
      </c>
      <c r="K326" s="13" t="s">
        <v>11</v>
      </c>
      <c r="L326" s="13" t="s">
        <v>12</v>
      </c>
      <c r="M326" s="23">
        <v>46497</v>
      </c>
      <c r="N326" s="24">
        <v>46652</v>
      </c>
      <c r="O326" s="14" t="s">
        <v>2174</v>
      </c>
      <c r="P326" s="14" t="s">
        <v>2175</v>
      </c>
      <c r="Q326" s="42" t="str">
        <f t="shared" si="4"/>
        <v>https://ec.europa.eu/info/funding-tenders/opportunities/portal/screen/opportunities/topic-details/HORIZON-CL6-2027-01-BIODIV-07</v>
      </c>
    </row>
    <row r="327" spans="1:17" ht="66" customHeight="1" thickBot="1" x14ac:dyDescent="0.35">
      <c r="A327" s="37" t="s">
        <v>2773</v>
      </c>
      <c r="B327" s="37" t="s">
        <v>2776</v>
      </c>
      <c r="C327" s="37" t="s">
        <v>2777</v>
      </c>
      <c r="D327" s="4" t="s">
        <v>1492</v>
      </c>
      <c r="E327" s="21" t="s">
        <v>249</v>
      </c>
      <c r="F327" s="4" t="s">
        <v>250</v>
      </c>
      <c r="G327" s="4" t="s">
        <v>2682</v>
      </c>
      <c r="H327" s="14"/>
      <c r="I327" s="14" t="s">
        <v>251</v>
      </c>
      <c r="J327" s="14" t="s">
        <v>252</v>
      </c>
      <c r="K327" s="13" t="s">
        <v>11</v>
      </c>
      <c r="L327" s="13" t="s">
        <v>12</v>
      </c>
      <c r="M327" s="23">
        <v>46497</v>
      </c>
      <c r="N327" s="24">
        <v>46652</v>
      </c>
      <c r="O327" s="14" t="s">
        <v>2176</v>
      </c>
      <c r="P327" s="14" t="s">
        <v>2177</v>
      </c>
      <c r="Q327" s="42" t="str">
        <f t="shared" si="4"/>
        <v>https://ec.europa.eu/info/funding-tenders/opportunities/portal/screen/opportunities/topic-details/HORIZON-CL6-2027-01-BIODIV-08</v>
      </c>
    </row>
    <row r="328" spans="1:17" ht="66" customHeight="1" thickBot="1" x14ac:dyDescent="0.35">
      <c r="A328" s="37" t="s">
        <v>2773</v>
      </c>
      <c r="B328" s="37" t="s">
        <v>2776</v>
      </c>
      <c r="C328" s="37" t="s">
        <v>2777</v>
      </c>
      <c r="D328" s="4" t="s">
        <v>1492</v>
      </c>
      <c r="E328" s="21" t="s">
        <v>253</v>
      </c>
      <c r="F328" s="4" t="s">
        <v>254</v>
      </c>
      <c r="G328" s="4" t="s">
        <v>2683</v>
      </c>
      <c r="H328" s="14"/>
      <c r="I328" s="14" t="s">
        <v>255</v>
      </c>
      <c r="J328" s="14" t="s">
        <v>256</v>
      </c>
      <c r="K328" s="13" t="s">
        <v>11</v>
      </c>
      <c r="L328" s="13" t="s">
        <v>12</v>
      </c>
      <c r="M328" s="23">
        <v>46497</v>
      </c>
      <c r="N328" s="24">
        <v>46652</v>
      </c>
      <c r="O328" s="14" t="s">
        <v>2178</v>
      </c>
      <c r="P328" s="14" t="s">
        <v>2179</v>
      </c>
      <c r="Q328" s="42" t="str">
        <f t="shared" si="4"/>
        <v>https://ec.europa.eu/info/funding-tenders/opportunities/portal/screen/opportunities/topic-details/HORIZON-CL6-2027-01-BIODIV-09</v>
      </c>
    </row>
    <row r="329" spans="1:17" ht="66" customHeight="1" thickBot="1" x14ac:dyDescent="0.35">
      <c r="A329" s="37" t="s">
        <v>2773</v>
      </c>
      <c r="B329" s="37" t="s">
        <v>2776</v>
      </c>
      <c r="C329" s="37" t="s">
        <v>2777</v>
      </c>
      <c r="D329" s="4" t="s">
        <v>1492</v>
      </c>
      <c r="E329" s="21" t="s">
        <v>257</v>
      </c>
      <c r="F329" s="4" t="s">
        <v>258</v>
      </c>
      <c r="G329" s="4" t="s">
        <v>2684</v>
      </c>
      <c r="H329" s="14"/>
      <c r="I329" s="14" t="s">
        <v>259</v>
      </c>
      <c r="J329" s="14" t="s">
        <v>260</v>
      </c>
      <c r="K329" s="13" t="s">
        <v>50</v>
      </c>
      <c r="L329" s="13" t="s">
        <v>12</v>
      </c>
      <c r="M329" s="23">
        <v>46036</v>
      </c>
      <c r="N329" s="24">
        <v>46126</v>
      </c>
      <c r="O329" s="14" t="s">
        <v>2180</v>
      </c>
      <c r="P329" s="14" t="s">
        <v>2181</v>
      </c>
      <c r="Q329" s="42" t="str">
        <f t="shared" ref="Q329:Q392" si="5">"https://ec.europa.eu/info/funding-tenders/opportunities/portal/screen/opportunities/topic-details/" &amp; E329</f>
        <v>https://ec.europa.eu/info/funding-tenders/opportunities/portal/screen/opportunities/topic-details/HORIZON-CL6-2026-02-FARM2FORK-01</v>
      </c>
    </row>
    <row r="330" spans="1:17" ht="66" customHeight="1" thickBot="1" x14ac:dyDescent="0.35">
      <c r="A330" s="37" t="s">
        <v>2773</v>
      </c>
      <c r="B330" s="37" t="s">
        <v>2776</v>
      </c>
      <c r="C330" s="37" t="s">
        <v>2777</v>
      </c>
      <c r="D330" s="4" t="s">
        <v>1492</v>
      </c>
      <c r="E330" s="21" t="s">
        <v>261</v>
      </c>
      <c r="F330" s="4" t="s">
        <v>262</v>
      </c>
      <c r="G330" s="4" t="s">
        <v>2685</v>
      </c>
      <c r="H330" s="14"/>
      <c r="I330" s="14" t="s">
        <v>205</v>
      </c>
      <c r="J330" s="14" t="s">
        <v>263</v>
      </c>
      <c r="K330" s="13" t="s">
        <v>11</v>
      </c>
      <c r="L330" s="13" t="s">
        <v>12</v>
      </c>
      <c r="M330" s="23">
        <v>46036</v>
      </c>
      <c r="N330" s="24">
        <v>46126</v>
      </c>
      <c r="O330" s="14" t="s">
        <v>2182</v>
      </c>
      <c r="P330" s="14" t="s">
        <v>2183</v>
      </c>
      <c r="Q330" s="42" t="str">
        <f t="shared" si="5"/>
        <v>https://ec.europa.eu/info/funding-tenders/opportunities/portal/screen/opportunities/topic-details/HORIZON-CL6-2026-02-FARM2FORK-02</v>
      </c>
    </row>
    <row r="331" spans="1:17" ht="66" customHeight="1" thickBot="1" x14ac:dyDescent="0.35">
      <c r="A331" s="37" t="s">
        <v>2773</v>
      </c>
      <c r="B331" s="37" t="s">
        <v>2776</v>
      </c>
      <c r="C331" s="37" t="s">
        <v>2777</v>
      </c>
      <c r="D331" s="4" t="s">
        <v>1492</v>
      </c>
      <c r="E331" s="21" t="s">
        <v>264</v>
      </c>
      <c r="F331" s="4" t="s">
        <v>265</v>
      </c>
      <c r="G331" s="4" t="s">
        <v>2686</v>
      </c>
      <c r="H331" s="14"/>
      <c r="I331" s="14" t="s">
        <v>205</v>
      </c>
      <c r="J331" s="14" t="s">
        <v>266</v>
      </c>
      <c r="K331" s="13" t="s">
        <v>50</v>
      </c>
      <c r="L331" s="13" t="s">
        <v>12</v>
      </c>
      <c r="M331" s="23">
        <v>46036</v>
      </c>
      <c r="N331" s="24">
        <v>46126</v>
      </c>
      <c r="O331" s="14" t="s">
        <v>2184</v>
      </c>
      <c r="P331" s="14" t="s">
        <v>2185</v>
      </c>
      <c r="Q331" s="42" t="str">
        <f t="shared" si="5"/>
        <v>https://ec.europa.eu/info/funding-tenders/opportunities/portal/screen/opportunities/topic-details/HORIZON-CL6-2026-02-FARM2FORK-03</v>
      </c>
    </row>
    <row r="332" spans="1:17" ht="66" customHeight="1" thickBot="1" x14ac:dyDescent="0.35">
      <c r="A332" s="37" t="s">
        <v>2773</v>
      </c>
      <c r="B332" s="37" t="s">
        <v>2776</v>
      </c>
      <c r="C332" s="37" t="s">
        <v>2777</v>
      </c>
      <c r="D332" s="4" t="s">
        <v>1492</v>
      </c>
      <c r="E332" s="21" t="s">
        <v>267</v>
      </c>
      <c r="F332" s="4" t="s">
        <v>268</v>
      </c>
      <c r="G332" s="4" t="s">
        <v>2687</v>
      </c>
      <c r="H332" s="14"/>
      <c r="I332" s="14" t="s">
        <v>269</v>
      </c>
      <c r="J332" s="14" t="s">
        <v>270</v>
      </c>
      <c r="K332" s="13" t="s">
        <v>11</v>
      </c>
      <c r="L332" s="13" t="s">
        <v>12</v>
      </c>
      <c r="M332" s="23">
        <v>46036</v>
      </c>
      <c r="N332" s="24">
        <v>46126</v>
      </c>
      <c r="O332" s="14" t="s">
        <v>2186</v>
      </c>
      <c r="P332" s="14" t="s">
        <v>2187</v>
      </c>
      <c r="Q332" s="42" t="str">
        <f t="shared" si="5"/>
        <v>https://ec.europa.eu/info/funding-tenders/opportunities/portal/screen/opportunities/topic-details/HORIZON-CL6-2026-02-FARM2FORK-04</v>
      </c>
    </row>
    <row r="333" spans="1:17" ht="66" customHeight="1" thickBot="1" x14ac:dyDescent="0.35">
      <c r="A333" s="37" t="s">
        <v>2773</v>
      </c>
      <c r="B333" s="37" t="s">
        <v>2776</v>
      </c>
      <c r="C333" s="37" t="s">
        <v>2777</v>
      </c>
      <c r="D333" s="4" t="s">
        <v>1492</v>
      </c>
      <c r="E333" s="21" t="s">
        <v>271</v>
      </c>
      <c r="F333" s="4" t="s">
        <v>272</v>
      </c>
      <c r="G333" s="4" t="s">
        <v>2688</v>
      </c>
      <c r="H333" s="14"/>
      <c r="I333" s="14" t="s">
        <v>205</v>
      </c>
      <c r="J333" s="14" t="s">
        <v>273</v>
      </c>
      <c r="K333" s="13" t="s">
        <v>11</v>
      </c>
      <c r="L333" s="13" t="s">
        <v>12</v>
      </c>
      <c r="M333" s="23">
        <v>46036</v>
      </c>
      <c r="N333" s="24">
        <v>46126</v>
      </c>
      <c r="O333" s="14" t="s">
        <v>2188</v>
      </c>
      <c r="P333" s="14" t="s">
        <v>2189</v>
      </c>
      <c r="Q333" s="42" t="str">
        <f t="shared" si="5"/>
        <v>https://ec.europa.eu/info/funding-tenders/opportunities/portal/screen/opportunities/topic-details/HORIZON-CL6-2026-02-FARM2FORK-05</v>
      </c>
    </row>
    <row r="334" spans="1:17" ht="66" customHeight="1" thickBot="1" x14ac:dyDescent="0.35">
      <c r="A334" s="37" t="s">
        <v>2773</v>
      </c>
      <c r="B334" s="37" t="s">
        <v>2776</v>
      </c>
      <c r="C334" s="37" t="s">
        <v>2777</v>
      </c>
      <c r="D334" s="4" t="s">
        <v>1492</v>
      </c>
      <c r="E334" s="21" t="s">
        <v>274</v>
      </c>
      <c r="F334" s="4" t="s">
        <v>275</v>
      </c>
      <c r="G334" s="4" t="s">
        <v>2689</v>
      </c>
      <c r="H334" s="14"/>
      <c r="I334" s="14" t="s">
        <v>276</v>
      </c>
      <c r="J334" s="14" t="s">
        <v>277</v>
      </c>
      <c r="K334" s="13" t="s">
        <v>50</v>
      </c>
      <c r="L334" s="13" t="s">
        <v>12</v>
      </c>
      <c r="M334" s="23">
        <v>46036</v>
      </c>
      <c r="N334" s="24">
        <v>46126</v>
      </c>
      <c r="O334" s="14" t="s">
        <v>2190</v>
      </c>
      <c r="P334" s="14" t="s">
        <v>2191</v>
      </c>
      <c r="Q334" s="42" t="str">
        <f t="shared" si="5"/>
        <v>https://ec.europa.eu/info/funding-tenders/opportunities/portal/screen/opportunities/topic-details/HORIZON-CL6-2026-02-FARM2FORK-06</v>
      </c>
    </row>
    <row r="335" spans="1:17" ht="66" customHeight="1" thickBot="1" x14ac:dyDescent="0.35">
      <c r="A335" s="37" t="s">
        <v>2773</v>
      </c>
      <c r="B335" s="37" t="s">
        <v>2776</v>
      </c>
      <c r="C335" s="37" t="s">
        <v>2777</v>
      </c>
      <c r="D335" s="4" t="s">
        <v>1492</v>
      </c>
      <c r="E335" s="21" t="s">
        <v>278</v>
      </c>
      <c r="F335" s="4" t="s">
        <v>279</v>
      </c>
      <c r="G335" s="4" t="s">
        <v>2690</v>
      </c>
      <c r="H335" s="14"/>
      <c r="I335" s="14" t="s">
        <v>205</v>
      </c>
      <c r="J335" s="14" t="s">
        <v>280</v>
      </c>
      <c r="K335" s="13" t="s">
        <v>16</v>
      </c>
      <c r="L335" s="13" t="s">
        <v>12</v>
      </c>
      <c r="M335" s="23">
        <v>46036</v>
      </c>
      <c r="N335" s="24">
        <v>46126</v>
      </c>
      <c r="O335" s="14" t="s">
        <v>2192</v>
      </c>
      <c r="P335" s="14" t="s">
        <v>2193</v>
      </c>
      <c r="Q335" s="42" t="str">
        <f t="shared" si="5"/>
        <v>https://ec.europa.eu/info/funding-tenders/opportunities/portal/screen/opportunities/topic-details/HORIZON-CL6-2026-02-FARM2FORK-07</v>
      </c>
    </row>
    <row r="336" spans="1:17" ht="66" customHeight="1" thickBot="1" x14ac:dyDescent="0.35">
      <c r="A336" s="37" t="s">
        <v>2773</v>
      </c>
      <c r="B336" s="37" t="s">
        <v>2776</v>
      </c>
      <c r="C336" s="37" t="s">
        <v>2777</v>
      </c>
      <c r="D336" s="4" t="s">
        <v>1492</v>
      </c>
      <c r="E336" s="21" t="s">
        <v>281</v>
      </c>
      <c r="F336" s="4" t="s">
        <v>282</v>
      </c>
      <c r="G336" s="4" t="s">
        <v>2691</v>
      </c>
      <c r="H336" s="14" t="s">
        <v>2369</v>
      </c>
      <c r="I336" s="14" t="s">
        <v>197</v>
      </c>
      <c r="J336" s="14" t="s">
        <v>283</v>
      </c>
      <c r="K336" s="13" t="s">
        <v>11</v>
      </c>
      <c r="L336" s="13" t="s">
        <v>12</v>
      </c>
      <c r="M336" s="23">
        <v>46036</v>
      </c>
      <c r="N336" s="24">
        <v>46126</v>
      </c>
      <c r="O336" s="14" t="s">
        <v>2194</v>
      </c>
      <c r="P336" s="14" t="s">
        <v>2195</v>
      </c>
      <c r="Q336" s="42" t="str">
        <f t="shared" si="5"/>
        <v>https://ec.europa.eu/info/funding-tenders/opportunities/portal/screen/opportunities/topic-details/HORIZON-CL6-2026-02-FARM2FORK-08</v>
      </c>
    </row>
    <row r="337" spans="1:17" ht="66" customHeight="1" thickBot="1" x14ac:dyDescent="0.35">
      <c r="A337" s="37" t="s">
        <v>2773</v>
      </c>
      <c r="B337" s="37" t="s">
        <v>2776</v>
      </c>
      <c r="C337" s="37" t="s">
        <v>2777</v>
      </c>
      <c r="D337" s="4" t="s">
        <v>1492</v>
      </c>
      <c r="E337" s="21" t="s">
        <v>284</v>
      </c>
      <c r="F337" s="4" t="s">
        <v>285</v>
      </c>
      <c r="G337" s="4" t="s">
        <v>2692</v>
      </c>
      <c r="H337" s="14" t="s">
        <v>2449</v>
      </c>
      <c r="I337" s="14" t="s">
        <v>34</v>
      </c>
      <c r="J337" s="14" t="s">
        <v>286</v>
      </c>
      <c r="K337" s="13" t="s">
        <v>50</v>
      </c>
      <c r="L337" s="13" t="s">
        <v>12</v>
      </c>
      <c r="M337" s="23">
        <v>46036</v>
      </c>
      <c r="N337" s="24">
        <v>46126</v>
      </c>
      <c r="O337" s="14" t="s">
        <v>2196</v>
      </c>
      <c r="P337" s="14" t="s">
        <v>2197</v>
      </c>
      <c r="Q337" s="42" t="str">
        <f t="shared" si="5"/>
        <v>https://ec.europa.eu/info/funding-tenders/opportunities/portal/screen/opportunities/topic-details/HORIZON-CL6-2026-02-FARM2FORK-09</v>
      </c>
    </row>
    <row r="338" spans="1:17" ht="66" customHeight="1" thickBot="1" x14ac:dyDescent="0.35">
      <c r="A338" s="37" t="s">
        <v>2773</v>
      </c>
      <c r="B338" s="37" t="s">
        <v>2776</v>
      </c>
      <c r="C338" s="37" t="s">
        <v>2777</v>
      </c>
      <c r="D338" s="4" t="s">
        <v>1492</v>
      </c>
      <c r="E338" s="21" t="s">
        <v>287</v>
      </c>
      <c r="F338" s="4" t="s">
        <v>288</v>
      </c>
      <c r="G338" s="4" t="s">
        <v>2693</v>
      </c>
      <c r="H338" s="14" t="s">
        <v>2450</v>
      </c>
      <c r="I338" s="14" t="s">
        <v>93</v>
      </c>
      <c r="J338" s="14" t="s">
        <v>289</v>
      </c>
      <c r="K338" s="13" t="s">
        <v>16</v>
      </c>
      <c r="L338" s="13" t="s">
        <v>12</v>
      </c>
      <c r="M338" s="23">
        <v>46036</v>
      </c>
      <c r="N338" s="24">
        <v>46126</v>
      </c>
      <c r="O338" s="14" t="s">
        <v>2198</v>
      </c>
      <c r="P338" s="14" t="s">
        <v>2199</v>
      </c>
      <c r="Q338" s="42" t="str">
        <f t="shared" si="5"/>
        <v>https://ec.europa.eu/info/funding-tenders/opportunities/portal/screen/opportunities/topic-details/HORIZON-CL6-2026-02-FARM2FORK-10</v>
      </c>
    </row>
    <row r="339" spans="1:17" ht="66" customHeight="1" thickBot="1" x14ac:dyDescent="0.35">
      <c r="A339" s="37" t="s">
        <v>2773</v>
      </c>
      <c r="B339" s="37" t="s">
        <v>2776</v>
      </c>
      <c r="C339" s="37" t="s">
        <v>2777</v>
      </c>
      <c r="D339" s="4" t="s">
        <v>1492</v>
      </c>
      <c r="E339" s="21" t="s">
        <v>290</v>
      </c>
      <c r="F339" s="4" t="s">
        <v>291</v>
      </c>
      <c r="G339" s="4" t="s">
        <v>2694</v>
      </c>
      <c r="H339" s="14"/>
      <c r="I339" s="14" t="s">
        <v>292</v>
      </c>
      <c r="J339" s="14" t="s">
        <v>293</v>
      </c>
      <c r="K339" s="13" t="s">
        <v>11</v>
      </c>
      <c r="L339" s="13" t="s">
        <v>12</v>
      </c>
      <c r="M339" s="23">
        <v>46036</v>
      </c>
      <c r="N339" s="24">
        <v>46126</v>
      </c>
      <c r="O339" s="14" t="s">
        <v>2200</v>
      </c>
      <c r="P339" s="14" t="s">
        <v>2201</v>
      </c>
      <c r="Q339" s="42" t="str">
        <f t="shared" si="5"/>
        <v>https://ec.europa.eu/info/funding-tenders/opportunities/portal/screen/opportunities/topic-details/HORIZON-CL6-2026-02-FARM2FORK-11</v>
      </c>
    </row>
    <row r="340" spans="1:17" ht="66" customHeight="1" thickBot="1" x14ac:dyDescent="0.35">
      <c r="A340" s="37" t="s">
        <v>2773</v>
      </c>
      <c r="B340" s="37" t="s">
        <v>2776</v>
      </c>
      <c r="C340" s="37" t="s">
        <v>2777</v>
      </c>
      <c r="D340" s="4" t="s">
        <v>1492</v>
      </c>
      <c r="E340" s="21" t="s">
        <v>294</v>
      </c>
      <c r="F340" s="4" t="s">
        <v>295</v>
      </c>
      <c r="G340" s="4" t="s">
        <v>2695</v>
      </c>
      <c r="H340" s="14"/>
      <c r="I340" s="14" t="s">
        <v>93</v>
      </c>
      <c r="J340" s="14" t="s">
        <v>296</v>
      </c>
      <c r="K340" s="13" t="s">
        <v>16</v>
      </c>
      <c r="L340" s="13" t="s">
        <v>12</v>
      </c>
      <c r="M340" s="23">
        <v>46036</v>
      </c>
      <c r="N340" s="24">
        <v>46126</v>
      </c>
      <c r="O340" s="14" t="s">
        <v>2202</v>
      </c>
      <c r="P340" s="14" t="s">
        <v>2203</v>
      </c>
      <c r="Q340" s="42" t="str">
        <f t="shared" si="5"/>
        <v>https://ec.europa.eu/info/funding-tenders/opportunities/portal/screen/opportunities/topic-details/HORIZON-CL6-2026-02-FARM2FORK-12</v>
      </c>
    </row>
    <row r="341" spans="1:17" ht="66" customHeight="1" thickBot="1" x14ac:dyDescent="0.35">
      <c r="A341" s="37" t="s">
        <v>2773</v>
      </c>
      <c r="B341" s="37" t="s">
        <v>2776</v>
      </c>
      <c r="C341" s="37" t="s">
        <v>2777</v>
      </c>
      <c r="D341" s="4" t="s">
        <v>1492</v>
      </c>
      <c r="E341" s="21" t="s">
        <v>297</v>
      </c>
      <c r="F341" s="4" t="s">
        <v>298</v>
      </c>
      <c r="G341" s="4" t="s">
        <v>2696</v>
      </c>
      <c r="H341" s="14"/>
      <c r="I341" s="14" t="s">
        <v>205</v>
      </c>
      <c r="J341" s="14" t="s">
        <v>299</v>
      </c>
      <c r="K341" s="13" t="s">
        <v>11</v>
      </c>
      <c r="L341" s="13" t="s">
        <v>12</v>
      </c>
      <c r="M341" s="23">
        <v>46036</v>
      </c>
      <c r="N341" s="24">
        <v>46126</v>
      </c>
      <c r="O341" s="14" t="s">
        <v>2204</v>
      </c>
      <c r="P341" s="14" t="s">
        <v>2205</v>
      </c>
      <c r="Q341" s="42" t="str">
        <f t="shared" si="5"/>
        <v>https://ec.europa.eu/info/funding-tenders/opportunities/portal/screen/opportunities/topic-details/HORIZON-CL6-2026-02-FARM2FORK-13</v>
      </c>
    </row>
    <row r="342" spans="1:17" ht="66" customHeight="1" thickBot="1" x14ac:dyDescent="0.35">
      <c r="A342" s="37" t="s">
        <v>2773</v>
      </c>
      <c r="B342" s="37" t="s">
        <v>2776</v>
      </c>
      <c r="C342" s="37" t="s">
        <v>2777</v>
      </c>
      <c r="D342" s="4" t="s">
        <v>1492</v>
      </c>
      <c r="E342" s="21" t="s">
        <v>300</v>
      </c>
      <c r="F342" s="4" t="s">
        <v>301</v>
      </c>
      <c r="G342" s="4" t="s">
        <v>2697</v>
      </c>
      <c r="H342" s="14"/>
      <c r="I342" s="14" t="s">
        <v>205</v>
      </c>
      <c r="J342" s="14" t="s">
        <v>302</v>
      </c>
      <c r="K342" s="13" t="s">
        <v>11</v>
      </c>
      <c r="L342" s="13" t="s">
        <v>12</v>
      </c>
      <c r="M342" s="23">
        <v>46036</v>
      </c>
      <c r="N342" s="24">
        <v>46126</v>
      </c>
      <c r="O342" s="14" t="s">
        <v>2206</v>
      </c>
      <c r="P342" s="14" t="s">
        <v>2207</v>
      </c>
      <c r="Q342" s="42" t="str">
        <f t="shared" si="5"/>
        <v>https://ec.europa.eu/info/funding-tenders/opportunities/portal/screen/opportunities/topic-details/HORIZON-CL6-2026-02-FARM2FORK-14</v>
      </c>
    </row>
    <row r="343" spans="1:17" ht="66" customHeight="1" thickBot="1" x14ac:dyDescent="0.35">
      <c r="A343" s="37" t="s">
        <v>2773</v>
      </c>
      <c r="B343" s="37" t="s">
        <v>2776</v>
      </c>
      <c r="C343" s="37" t="s">
        <v>2777</v>
      </c>
      <c r="D343" s="4" t="s">
        <v>1492</v>
      </c>
      <c r="E343" s="21" t="s">
        <v>303</v>
      </c>
      <c r="F343" s="4" t="s">
        <v>304</v>
      </c>
      <c r="G343" s="4" t="s">
        <v>2698</v>
      </c>
      <c r="H343" s="14" t="s">
        <v>2451</v>
      </c>
      <c r="I343" s="14" t="s">
        <v>205</v>
      </c>
      <c r="J343" s="14" t="s">
        <v>305</v>
      </c>
      <c r="K343" s="13" t="s">
        <v>50</v>
      </c>
      <c r="L343" s="13" t="s">
        <v>35</v>
      </c>
      <c r="M343" s="23">
        <v>46065</v>
      </c>
      <c r="N343" s="24" t="s">
        <v>306</v>
      </c>
      <c r="O343" s="14" t="s">
        <v>2208</v>
      </c>
      <c r="P343" s="14" t="s">
        <v>2209</v>
      </c>
      <c r="Q343" s="42" t="str">
        <f t="shared" si="5"/>
        <v>https://ec.europa.eu/info/funding-tenders/opportunities/portal/screen/opportunities/topic-details/HORIZON-CL6-2026-02-FARM2FORK-01-two-stage</v>
      </c>
    </row>
    <row r="344" spans="1:17" ht="66" customHeight="1" thickBot="1" x14ac:dyDescent="0.35">
      <c r="A344" s="37" t="s">
        <v>2773</v>
      </c>
      <c r="B344" s="37" t="s">
        <v>2776</v>
      </c>
      <c r="C344" s="37" t="s">
        <v>2777</v>
      </c>
      <c r="D344" s="4" t="s">
        <v>1492</v>
      </c>
      <c r="E344" s="21" t="s">
        <v>307</v>
      </c>
      <c r="F344" s="4" t="s">
        <v>308</v>
      </c>
      <c r="G344" s="4" t="s">
        <v>2699</v>
      </c>
      <c r="H344" s="14" t="s">
        <v>2438</v>
      </c>
      <c r="I344" s="14" t="s">
        <v>205</v>
      </c>
      <c r="J344" s="14" t="s">
        <v>309</v>
      </c>
      <c r="K344" s="13" t="s">
        <v>50</v>
      </c>
      <c r="L344" s="13" t="s">
        <v>35</v>
      </c>
      <c r="M344" s="23">
        <v>46065</v>
      </c>
      <c r="N344" s="24" t="s">
        <v>306</v>
      </c>
      <c r="O344" s="14" t="s">
        <v>2210</v>
      </c>
      <c r="P344" s="14" t="s">
        <v>2211</v>
      </c>
      <c r="Q344" s="42" t="str">
        <f t="shared" si="5"/>
        <v>https://ec.europa.eu/info/funding-tenders/opportunities/portal/screen/opportunities/topic-details/HORIZON-CL6-2026-02-FARM2FORK-02-two-stage</v>
      </c>
    </row>
    <row r="345" spans="1:17" ht="66" customHeight="1" thickBot="1" x14ac:dyDescent="0.35">
      <c r="A345" s="37" t="s">
        <v>2773</v>
      </c>
      <c r="B345" s="37" t="s">
        <v>2776</v>
      </c>
      <c r="C345" s="37" t="s">
        <v>2777</v>
      </c>
      <c r="D345" s="4" t="s">
        <v>1492</v>
      </c>
      <c r="E345" s="21" t="s">
        <v>310</v>
      </c>
      <c r="F345" s="4" t="s">
        <v>311</v>
      </c>
      <c r="G345" s="4" t="s">
        <v>2700</v>
      </c>
      <c r="H345" s="14" t="s">
        <v>2452</v>
      </c>
      <c r="I345" s="14" t="s">
        <v>312</v>
      </c>
      <c r="J345" s="14" t="s">
        <v>313</v>
      </c>
      <c r="K345" s="13" t="s">
        <v>11</v>
      </c>
      <c r="L345" s="13" t="s">
        <v>12</v>
      </c>
      <c r="M345" s="23">
        <v>46497</v>
      </c>
      <c r="N345" s="24">
        <v>46653</v>
      </c>
      <c r="O345" s="14" t="s">
        <v>2212</v>
      </c>
      <c r="P345" s="14" t="s">
        <v>2213</v>
      </c>
      <c r="Q345" s="42" t="str">
        <f t="shared" si="5"/>
        <v>https://ec.europa.eu/info/funding-tenders/opportunities/portal/screen/opportunities/topic-details/HORIZON-CL6-2027-02-FARM2FORK-01</v>
      </c>
    </row>
    <row r="346" spans="1:17" ht="66" customHeight="1" thickBot="1" x14ac:dyDescent="0.35">
      <c r="A346" s="37" t="s">
        <v>2773</v>
      </c>
      <c r="B346" s="37" t="s">
        <v>2776</v>
      </c>
      <c r="C346" s="37" t="s">
        <v>2777</v>
      </c>
      <c r="D346" s="4" t="s">
        <v>1492</v>
      </c>
      <c r="E346" s="21" t="s">
        <v>314</v>
      </c>
      <c r="F346" s="4" t="s">
        <v>315</v>
      </c>
      <c r="G346" s="4" t="s">
        <v>2701</v>
      </c>
      <c r="H346" s="14"/>
      <c r="I346" s="14" t="s">
        <v>205</v>
      </c>
      <c r="J346" s="14" t="s">
        <v>316</v>
      </c>
      <c r="K346" s="13" t="s">
        <v>50</v>
      </c>
      <c r="L346" s="13" t="s">
        <v>12</v>
      </c>
      <c r="M346" s="23">
        <v>46497</v>
      </c>
      <c r="N346" s="24">
        <v>46653</v>
      </c>
      <c r="O346" s="14" t="s">
        <v>2214</v>
      </c>
      <c r="P346" s="14" t="s">
        <v>2215</v>
      </c>
      <c r="Q346" s="42" t="str">
        <f t="shared" si="5"/>
        <v>https://ec.europa.eu/info/funding-tenders/opportunities/portal/screen/opportunities/topic-details/HORIZON-CL6-2027-02-FARM2FORK-02</v>
      </c>
    </row>
    <row r="347" spans="1:17" ht="66" customHeight="1" thickBot="1" x14ac:dyDescent="0.35">
      <c r="A347" s="37" t="s">
        <v>2773</v>
      </c>
      <c r="B347" s="37" t="s">
        <v>2776</v>
      </c>
      <c r="C347" s="37" t="s">
        <v>2777</v>
      </c>
      <c r="D347" s="4" t="s">
        <v>1492</v>
      </c>
      <c r="E347" s="21" t="s">
        <v>317</v>
      </c>
      <c r="F347" s="4" t="s">
        <v>318</v>
      </c>
      <c r="G347" s="4" t="s">
        <v>2702</v>
      </c>
      <c r="H347" s="14"/>
      <c r="I347" s="14" t="s">
        <v>292</v>
      </c>
      <c r="J347" s="14" t="s">
        <v>319</v>
      </c>
      <c r="K347" s="13" t="s">
        <v>11</v>
      </c>
      <c r="L347" s="13" t="s">
        <v>12</v>
      </c>
      <c r="M347" s="23">
        <v>46497</v>
      </c>
      <c r="N347" s="24">
        <v>46653</v>
      </c>
      <c r="O347" s="14" t="s">
        <v>2216</v>
      </c>
      <c r="P347" s="14" t="s">
        <v>2217</v>
      </c>
      <c r="Q347" s="42" t="str">
        <f t="shared" si="5"/>
        <v>https://ec.europa.eu/info/funding-tenders/opportunities/portal/screen/opportunities/topic-details/HORIZON-CL6-2027-02-FARM2FORK-03</v>
      </c>
    </row>
    <row r="348" spans="1:17" ht="66" customHeight="1" thickBot="1" x14ac:dyDescent="0.35">
      <c r="A348" s="37" t="s">
        <v>2773</v>
      </c>
      <c r="B348" s="37" t="s">
        <v>2776</v>
      </c>
      <c r="C348" s="37" t="s">
        <v>2777</v>
      </c>
      <c r="D348" s="4" t="s">
        <v>1492</v>
      </c>
      <c r="E348" s="21" t="s">
        <v>320</v>
      </c>
      <c r="F348" s="4" t="s">
        <v>321</v>
      </c>
      <c r="G348" s="4" t="s">
        <v>2703</v>
      </c>
      <c r="H348" s="14"/>
      <c r="I348" s="14" t="s">
        <v>322</v>
      </c>
      <c r="J348" s="14" t="s">
        <v>323</v>
      </c>
      <c r="K348" s="13" t="s">
        <v>16</v>
      </c>
      <c r="L348" s="13" t="s">
        <v>12</v>
      </c>
      <c r="M348" s="23">
        <v>46497</v>
      </c>
      <c r="N348" s="24">
        <v>46653</v>
      </c>
      <c r="O348" s="14" t="s">
        <v>2218</v>
      </c>
      <c r="P348" s="14" t="s">
        <v>2219</v>
      </c>
      <c r="Q348" s="42" t="str">
        <f t="shared" si="5"/>
        <v>https://ec.europa.eu/info/funding-tenders/opportunities/portal/screen/opportunities/topic-details/HORIZON-CL6-2027-02-FARM2FORK-04</v>
      </c>
    </row>
    <row r="349" spans="1:17" ht="66" customHeight="1" thickBot="1" x14ac:dyDescent="0.35">
      <c r="A349" s="37" t="s">
        <v>2773</v>
      </c>
      <c r="B349" s="37" t="s">
        <v>2776</v>
      </c>
      <c r="C349" s="37" t="s">
        <v>2777</v>
      </c>
      <c r="D349" s="4" t="s">
        <v>1492</v>
      </c>
      <c r="E349" s="21" t="s">
        <v>324</v>
      </c>
      <c r="F349" s="4" t="s">
        <v>325</v>
      </c>
      <c r="G349" s="4" t="s">
        <v>2704</v>
      </c>
      <c r="H349" s="14"/>
      <c r="I349" s="14" t="s">
        <v>205</v>
      </c>
      <c r="J349" s="14" t="s">
        <v>326</v>
      </c>
      <c r="K349" s="13" t="s">
        <v>50</v>
      </c>
      <c r="L349" s="13" t="s">
        <v>12</v>
      </c>
      <c r="M349" s="23">
        <v>46497</v>
      </c>
      <c r="N349" s="24">
        <v>46653</v>
      </c>
      <c r="O349" s="14" t="s">
        <v>2220</v>
      </c>
      <c r="P349" s="14" t="s">
        <v>2221</v>
      </c>
      <c r="Q349" s="42" t="str">
        <f t="shared" si="5"/>
        <v>https://ec.europa.eu/info/funding-tenders/opportunities/portal/screen/opportunities/topic-details/HORIZON-CL6-2027-02-FARM2FORK-05</v>
      </c>
    </row>
    <row r="350" spans="1:17" ht="66" customHeight="1" thickBot="1" x14ac:dyDescent="0.35">
      <c r="A350" s="37" t="s">
        <v>2773</v>
      </c>
      <c r="B350" s="37" t="s">
        <v>2776</v>
      </c>
      <c r="C350" s="37" t="s">
        <v>2777</v>
      </c>
      <c r="D350" s="4" t="s">
        <v>1492</v>
      </c>
      <c r="E350" s="21" t="s">
        <v>327</v>
      </c>
      <c r="F350" s="4" t="s">
        <v>328</v>
      </c>
      <c r="G350" s="4" t="s">
        <v>2705</v>
      </c>
      <c r="H350" s="14" t="s">
        <v>2369</v>
      </c>
      <c r="I350" s="14" t="s">
        <v>197</v>
      </c>
      <c r="J350" s="14" t="s">
        <v>329</v>
      </c>
      <c r="K350" s="13" t="s">
        <v>50</v>
      </c>
      <c r="L350" s="13" t="s">
        <v>12</v>
      </c>
      <c r="M350" s="23">
        <v>46497</v>
      </c>
      <c r="N350" s="24">
        <v>46653</v>
      </c>
      <c r="O350" s="14" t="s">
        <v>2222</v>
      </c>
      <c r="P350" s="14" t="s">
        <v>2223</v>
      </c>
      <c r="Q350" s="42" t="str">
        <f t="shared" si="5"/>
        <v>https://ec.europa.eu/info/funding-tenders/opportunities/portal/screen/opportunities/topic-details/HORIZON-CL6-2027-02-FARM2FORK-06</v>
      </c>
    </row>
    <row r="351" spans="1:17" ht="66" customHeight="1" thickBot="1" x14ac:dyDescent="0.35">
      <c r="A351" s="37" t="s">
        <v>2773</v>
      </c>
      <c r="B351" s="37" t="s">
        <v>2776</v>
      </c>
      <c r="C351" s="37" t="s">
        <v>2777</v>
      </c>
      <c r="D351" s="4" t="s">
        <v>1492</v>
      </c>
      <c r="E351" s="21" t="s">
        <v>330</v>
      </c>
      <c r="F351" s="4" t="s">
        <v>331</v>
      </c>
      <c r="G351" s="4" t="s">
        <v>2706</v>
      </c>
      <c r="H351" s="14"/>
      <c r="I351" s="14" t="s">
        <v>163</v>
      </c>
      <c r="J351" s="14" t="s">
        <v>332</v>
      </c>
      <c r="K351" s="13" t="s">
        <v>50</v>
      </c>
      <c r="L351" s="13" t="s">
        <v>12</v>
      </c>
      <c r="M351" s="23">
        <v>46497</v>
      </c>
      <c r="N351" s="24">
        <v>46653</v>
      </c>
      <c r="O351" s="14" t="s">
        <v>2224</v>
      </c>
      <c r="P351" s="14" t="s">
        <v>2225</v>
      </c>
      <c r="Q351" s="42" t="str">
        <f t="shared" si="5"/>
        <v>https://ec.europa.eu/info/funding-tenders/opportunities/portal/screen/opportunities/topic-details/HORIZON-CL6-2027-02-FARM2FORK-07</v>
      </c>
    </row>
    <row r="352" spans="1:17" ht="66" customHeight="1" thickBot="1" x14ac:dyDescent="0.35">
      <c r="A352" s="37" t="s">
        <v>2773</v>
      </c>
      <c r="B352" s="37" t="s">
        <v>2776</v>
      </c>
      <c r="C352" s="37" t="s">
        <v>2777</v>
      </c>
      <c r="D352" s="4" t="s">
        <v>1492</v>
      </c>
      <c r="E352" s="21" t="s">
        <v>333</v>
      </c>
      <c r="F352" s="4" t="s">
        <v>334</v>
      </c>
      <c r="G352" s="4" t="s">
        <v>2707</v>
      </c>
      <c r="H352" s="14"/>
      <c r="I352" s="14" t="s">
        <v>335</v>
      </c>
      <c r="J352" s="14" t="s">
        <v>336</v>
      </c>
      <c r="K352" s="13" t="s">
        <v>50</v>
      </c>
      <c r="L352" s="13" t="s">
        <v>12</v>
      </c>
      <c r="M352" s="23">
        <v>46497</v>
      </c>
      <c r="N352" s="24">
        <v>46653</v>
      </c>
      <c r="O352" s="14" t="s">
        <v>2226</v>
      </c>
      <c r="P352" s="14" t="s">
        <v>2227</v>
      </c>
      <c r="Q352" s="42" t="str">
        <f t="shared" si="5"/>
        <v>https://ec.europa.eu/info/funding-tenders/opportunities/portal/screen/opportunities/topic-details/HORIZON-CL6-2027-02-FARM2FORK-08</v>
      </c>
    </row>
    <row r="353" spans="1:17" ht="66" customHeight="1" thickBot="1" x14ac:dyDescent="0.35">
      <c r="A353" s="37" t="s">
        <v>2773</v>
      </c>
      <c r="B353" s="37" t="s">
        <v>2776</v>
      </c>
      <c r="C353" s="37" t="s">
        <v>2777</v>
      </c>
      <c r="D353" s="4" t="s">
        <v>1492</v>
      </c>
      <c r="E353" s="21" t="s">
        <v>337</v>
      </c>
      <c r="F353" s="4" t="s">
        <v>338</v>
      </c>
      <c r="G353" s="4" t="s">
        <v>2708</v>
      </c>
      <c r="H353" s="14"/>
      <c r="I353" s="14" t="s">
        <v>243</v>
      </c>
      <c r="J353" s="14" t="s">
        <v>339</v>
      </c>
      <c r="K353" s="13" t="s">
        <v>16</v>
      </c>
      <c r="L353" s="13" t="s">
        <v>12</v>
      </c>
      <c r="M353" s="23">
        <v>46497</v>
      </c>
      <c r="N353" s="24">
        <v>46653</v>
      </c>
      <c r="O353" s="14" t="s">
        <v>2228</v>
      </c>
      <c r="P353" s="14" t="s">
        <v>2229</v>
      </c>
      <c r="Q353" s="42" t="str">
        <f t="shared" si="5"/>
        <v>https://ec.europa.eu/info/funding-tenders/opportunities/portal/screen/opportunities/topic-details/HORIZON-CL6-2027-02-FARM2FORK-09</v>
      </c>
    </row>
    <row r="354" spans="1:17" ht="66" customHeight="1" thickBot="1" x14ac:dyDescent="0.35">
      <c r="A354" s="37" t="s">
        <v>2773</v>
      </c>
      <c r="B354" s="37" t="s">
        <v>2776</v>
      </c>
      <c r="C354" s="37" t="s">
        <v>2777</v>
      </c>
      <c r="D354" s="4" t="s">
        <v>1492</v>
      </c>
      <c r="E354" s="21" t="s">
        <v>340</v>
      </c>
      <c r="F354" s="4" t="s">
        <v>341</v>
      </c>
      <c r="G354" s="4" t="s">
        <v>2709</v>
      </c>
      <c r="H354" s="14"/>
      <c r="I354" s="14" t="s">
        <v>205</v>
      </c>
      <c r="J354" s="14" t="s">
        <v>342</v>
      </c>
      <c r="K354" s="13" t="s">
        <v>11</v>
      </c>
      <c r="L354" s="13" t="s">
        <v>35</v>
      </c>
      <c r="M354" s="23">
        <v>46422</v>
      </c>
      <c r="N354" s="24" t="s">
        <v>343</v>
      </c>
      <c r="O354" s="14" t="s">
        <v>2230</v>
      </c>
      <c r="P354" s="14" t="s">
        <v>2231</v>
      </c>
      <c r="Q354" s="42" t="str">
        <f t="shared" si="5"/>
        <v>https://ec.europa.eu/info/funding-tenders/opportunities/portal/screen/opportunities/topic-details/HORIZON-CL6-2027-02-FARM2FORK-01-two-stage</v>
      </c>
    </row>
    <row r="355" spans="1:17" ht="66" customHeight="1" thickBot="1" x14ac:dyDescent="0.35">
      <c r="A355" s="37" t="s">
        <v>2773</v>
      </c>
      <c r="B355" s="37" t="s">
        <v>2776</v>
      </c>
      <c r="C355" s="37" t="s">
        <v>2777</v>
      </c>
      <c r="D355" s="4" t="s">
        <v>1492</v>
      </c>
      <c r="E355" s="21" t="s">
        <v>344</v>
      </c>
      <c r="F355" s="4" t="s">
        <v>345</v>
      </c>
      <c r="G355" s="4" t="s">
        <v>2710</v>
      </c>
      <c r="H355" s="14" t="s">
        <v>2453</v>
      </c>
      <c r="I355" s="14" t="s">
        <v>201</v>
      </c>
      <c r="J355" s="14" t="s">
        <v>346</v>
      </c>
      <c r="K355" s="13" t="s">
        <v>11</v>
      </c>
      <c r="L355" s="13" t="s">
        <v>35</v>
      </c>
      <c r="M355" s="23">
        <v>46422</v>
      </c>
      <c r="N355" s="24" t="s">
        <v>347</v>
      </c>
      <c r="O355" s="14" t="s">
        <v>2232</v>
      </c>
      <c r="P355" s="14" t="s">
        <v>2233</v>
      </c>
      <c r="Q355" s="42" t="str">
        <f t="shared" si="5"/>
        <v>https://ec.europa.eu/info/funding-tenders/opportunities/portal/screen/opportunities/topic-details/HORIZON-CL6-2027-02-FARM2FORK-02-two-stage</v>
      </c>
    </row>
    <row r="356" spans="1:17" ht="66" customHeight="1" thickBot="1" x14ac:dyDescent="0.35">
      <c r="A356" s="37" t="s">
        <v>2773</v>
      </c>
      <c r="B356" s="37" t="s">
        <v>2776</v>
      </c>
      <c r="C356" s="37" t="s">
        <v>2777</v>
      </c>
      <c r="D356" s="4" t="s">
        <v>1492</v>
      </c>
      <c r="E356" s="21" t="s">
        <v>348</v>
      </c>
      <c r="F356" s="4" t="s">
        <v>349</v>
      </c>
      <c r="G356" s="4" t="s">
        <v>2711</v>
      </c>
      <c r="H356" s="14"/>
      <c r="I356" s="14" t="s">
        <v>350</v>
      </c>
      <c r="J356" s="14" t="s">
        <v>351</v>
      </c>
      <c r="K356" s="13" t="s">
        <v>50</v>
      </c>
      <c r="L356" s="13" t="s">
        <v>12</v>
      </c>
      <c r="M356" s="23">
        <v>46129</v>
      </c>
      <c r="N356" s="24">
        <v>46282</v>
      </c>
      <c r="O356" s="14" t="s">
        <v>2234</v>
      </c>
      <c r="P356" s="14" t="s">
        <v>2235</v>
      </c>
      <c r="Q356" s="42" t="str">
        <f t="shared" si="5"/>
        <v>https://ec.europa.eu/info/funding-tenders/opportunities/portal/screen/opportunities/topic-details/HORIZON-CL6-2026-01-CIRCBIO-01</v>
      </c>
    </row>
    <row r="357" spans="1:17" ht="66" customHeight="1" thickBot="1" x14ac:dyDescent="0.35">
      <c r="A357" s="37" t="s">
        <v>2773</v>
      </c>
      <c r="B357" s="37" t="s">
        <v>2776</v>
      </c>
      <c r="C357" s="37" t="s">
        <v>2777</v>
      </c>
      <c r="D357" s="4" t="s">
        <v>1492</v>
      </c>
      <c r="E357" s="21" t="s">
        <v>352</v>
      </c>
      <c r="F357" s="4" t="s">
        <v>353</v>
      </c>
      <c r="G357" s="4" t="s">
        <v>2712</v>
      </c>
      <c r="H357" s="14"/>
      <c r="I357" s="14" t="s">
        <v>350</v>
      </c>
      <c r="J357" s="14" t="s">
        <v>354</v>
      </c>
      <c r="K357" s="13" t="s">
        <v>50</v>
      </c>
      <c r="L357" s="13" t="s">
        <v>12</v>
      </c>
      <c r="M357" s="23">
        <v>46129</v>
      </c>
      <c r="N357" s="24">
        <v>46282</v>
      </c>
      <c r="O357" s="14" t="s">
        <v>2236</v>
      </c>
      <c r="P357" s="14" t="s">
        <v>2237</v>
      </c>
      <c r="Q357" s="42" t="str">
        <f t="shared" si="5"/>
        <v>https://ec.europa.eu/info/funding-tenders/opportunities/portal/screen/opportunities/topic-details/HORIZON-CL6-2026-01-CIRCBIO-02</v>
      </c>
    </row>
    <row r="358" spans="1:17" ht="66" customHeight="1" thickBot="1" x14ac:dyDescent="0.35">
      <c r="A358" s="37" t="s">
        <v>2773</v>
      </c>
      <c r="B358" s="37" t="s">
        <v>2776</v>
      </c>
      <c r="C358" s="37" t="s">
        <v>2777</v>
      </c>
      <c r="D358" s="4" t="s">
        <v>1492</v>
      </c>
      <c r="E358" s="21" t="s">
        <v>355</v>
      </c>
      <c r="F358" s="4" t="s">
        <v>356</v>
      </c>
      <c r="G358" s="4" t="s">
        <v>2713</v>
      </c>
      <c r="H358" s="14"/>
      <c r="I358" s="14" t="s">
        <v>357</v>
      </c>
      <c r="J358" s="14" t="s">
        <v>358</v>
      </c>
      <c r="K358" s="13" t="s">
        <v>11</v>
      </c>
      <c r="L358" s="13" t="s">
        <v>12</v>
      </c>
      <c r="M358" s="23">
        <v>46129</v>
      </c>
      <c r="N358" s="24">
        <v>46282</v>
      </c>
      <c r="O358" s="14" t="s">
        <v>2238</v>
      </c>
      <c r="P358" s="14" t="s">
        <v>2239</v>
      </c>
      <c r="Q358" s="42" t="str">
        <f t="shared" si="5"/>
        <v>https://ec.europa.eu/info/funding-tenders/opportunities/portal/screen/opportunities/topic-details/HORIZON-CL6-2026-01-CIRCBIO-03</v>
      </c>
    </row>
    <row r="359" spans="1:17" ht="66" customHeight="1" thickBot="1" x14ac:dyDescent="0.35">
      <c r="A359" s="37" t="s">
        <v>2773</v>
      </c>
      <c r="B359" s="37" t="s">
        <v>2776</v>
      </c>
      <c r="C359" s="37" t="s">
        <v>2777</v>
      </c>
      <c r="D359" s="4" t="s">
        <v>1492</v>
      </c>
      <c r="E359" s="21" t="s">
        <v>359</v>
      </c>
      <c r="F359" s="4" t="s">
        <v>360</v>
      </c>
      <c r="G359" s="4" t="s">
        <v>2714</v>
      </c>
      <c r="H359" s="14" t="s">
        <v>2414</v>
      </c>
      <c r="I359" s="14" t="s">
        <v>361</v>
      </c>
      <c r="J359" s="14" t="s">
        <v>362</v>
      </c>
      <c r="K359" s="13" t="s">
        <v>50</v>
      </c>
      <c r="L359" s="13" t="s">
        <v>12</v>
      </c>
      <c r="M359" s="23">
        <v>46129</v>
      </c>
      <c r="N359" s="24">
        <v>46282</v>
      </c>
      <c r="O359" s="14" t="s">
        <v>2240</v>
      </c>
      <c r="P359" s="14" t="s">
        <v>2241</v>
      </c>
      <c r="Q359" s="42" t="str">
        <f t="shared" si="5"/>
        <v>https://ec.europa.eu/info/funding-tenders/opportunities/portal/screen/opportunities/topic-details/HORIZON-CL6-2026-01-CIRCBIO-04</v>
      </c>
    </row>
    <row r="360" spans="1:17" ht="66" customHeight="1" thickBot="1" x14ac:dyDescent="0.35">
      <c r="A360" s="37" t="s">
        <v>2773</v>
      </c>
      <c r="B360" s="37" t="s">
        <v>2776</v>
      </c>
      <c r="C360" s="37" t="s">
        <v>2777</v>
      </c>
      <c r="D360" s="4" t="s">
        <v>1492</v>
      </c>
      <c r="E360" s="21" t="s">
        <v>363</v>
      </c>
      <c r="F360" s="4" t="s">
        <v>364</v>
      </c>
      <c r="G360" s="4" t="s">
        <v>2715</v>
      </c>
      <c r="H360" s="14"/>
      <c r="I360" s="14" t="s">
        <v>322</v>
      </c>
      <c r="J360" s="14" t="s">
        <v>365</v>
      </c>
      <c r="K360" s="13" t="s">
        <v>11</v>
      </c>
      <c r="L360" s="13" t="s">
        <v>12</v>
      </c>
      <c r="M360" s="23">
        <v>46129</v>
      </c>
      <c r="N360" s="24">
        <v>46282</v>
      </c>
      <c r="O360" s="14" t="s">
        <v>2242</v>
      </c>
      <c r="P360" s="14" t="s">
        <v>2243</v>
      </c>
      <c r="Q360" s="42" t="str">
        <f t="shared" si="5"/>
        <v>https://ec.europa.eu/info/funding-tenders/opportunities/portal/screen/opportunities/topic-details/HORIZON-CL6-2026-01-CIRCBIO-05</v>
      </c>
    </row>
    <row r="361" spans="1:17" ht="66" customHeight="1" thickBot="1" x14ac:dyDescent="0.35">
      <c r="A361" s="37" t="s">
        <v>2773</v>
      </c>
      <c r="B361" s="37" t="s">
        <v>2776</v>
      </c>
      <c r="C361" s="37" t="s">
        <v>2777</v>
      </c>
      <c r="D361" s="4" t="s">
        <v>1492</v>
      </c>
      <c r="E361" s="21" t="s">
        <v>366</v>
      </c>
      <c r="F361" s="4" t="s">
        <v>367</v>
      </c>
      <c r="G361" s="4" t="s">
        <v>2716</v>
      </c>
      <c r="H361" s="14"/>
      <c r="I361" s="14" t="s">
        <v>243</v>
      </c>
      <c r="J361" s="14" t="s">
        <v>368</v>
      </c>
      <c r="K361" s="13" t="s">
        <v>16</v>
      </c>
      <c r="L361" s="13" t="s">
        <v>12</v>
      </c>
      <c r="M361" s="23">
        <v>46129</v>
      </c>
      <c r="N361" s="24">
        <v>46282</v>
      </c>
      <c r="O361" s="14" t="s">
        <v>2244</v>
      </c>
      <c r="P361" s="14" t="s">
        <v>2245</v>
      </c>
      <c r="Q361" s="42" t="str">
        <f t="shared" si="5"/>
        <v>https://ec.europa.eu/info/funding-tenders/opportunities/portal/screen/opportunities/topic-details/HORIZON-CL6-2026-01-CIRCBIO-06</v>
      </c>
    </row>
    <row r="362" spans="1:17" ht="66" customHeight="1" thickBot="1" x14ac:dyDescent="0.35">
      <c r="A362" s="37" t="s">
        <v>2773</v>
      </c>
      <c r="B362" s="37" t="s">
        <v>2776</v>
      </c>
      <c r="C362" s="37" t="s">
        <v>2777</v>
      </c>
      <c r="D362" s="4" t="s">
        <v>1492</v>
      </c>
      <c r="E362" s="21" t="s">
        <v>369</v>
      </c>
      <c r="F362" s="4" t="s">
        <v>370</v>
      </c>
      <c r="G362" s="4" t="s">
        <v>2717</v>
      </c>
      <c r="H362" s="14" t="s">
        <v>2360</v>
      </c>
      <c r="I362" s="14" t="s">
        <v>255</v>
      </c>
      <c r="J362" s="14" t="s">
        <v>371</v>
      </c>
      <c r="K362" s="13" t="s">
        <v>11</v>
      </c>
      <c r="L362" s="13" t="s">
        <v>12</v>
      </c>
      <c r="M362" s="23">
        <v>46129</v>
      </c>
      <c r="N362" s="24">
        <v>46282</v>
      </c>
      <c r="O362" s="14" t="s">
        <v>2246</v>
      </c>
      <c r="P362" s="14" t="s">
        <v>2247</v>
      </c>
      <c r="Q362" s="42" t="str">
        <f t="shared" si="5"/>
        <v>https://ec.europa.eu/info/funding-tenders/opportunities/portal/screen/opportunities/topic-details/HORIZON-CL6-2026-01-CIRCBIO-07</v>
      </c>
    </row>
    <row r="363" spans="1:17" ht="66" customHeight="1" thickBot="1" x14ac:dyDescent="0.35">
      <c r="A363" s="37" t="s">
        <v>2773</v>
      </c>
      <c r="B363" s="37" t="s">
        <v>2776</v>
      </c>
      <c r="C363" s="37" t="s">
        <v>2777</v>
      </c>
      <c r="D363" s="4" t="s">
        <v>1492</v>
      </c>
      <c r="E363" s="21" t="s">
        <v>372</v>
      </c>
      <c r="F363" s="4" t="s">
        <v>373</v>
      </c>
      <c r="G363" s="4" t="s">
        <v>2718</v>
      </c>
      <c r="H363" s="14" t="s">
        <v>2360</v>
      </c>
      <c r="I363" s="14" t="s">
        <v>374</v>
      </c>
      <c r="J363" s="14" t="s">
        <v>375</v>
      </c>
      <c r="K363" s="13" t="s">
        <v>11</v>
      </c>
      <c r="L363" s="13" t="s">
        <v>12</v>
      </c>
      <c r="M363" s="23">
        <v>46129</v>
      </c>
      <c r="N363" s="24">
        <v>46282</v>
      </c>
      <c r="O363" s="14" t="s">
        <v>2248</v>
      </c>
      <c r="P363" s="14" t="s">
        <v>2249</v>
      </c>
      <c r="Q363" s="42" t="str">
        <f t="shared" si="5"/>
        <v>https://ec.europa.eu/info/funding-tenders/opportunities/portal/screen/opportunities/topic-details/HORIZON-CL6-2026-01-CIRCBIO-08</v>
      </c>
    </row>
    <row r="364" spans="1:17" ht="66" customHeight="1" thickBot="1" x14ac:dyDescent="0.35">
      <c r="A364" s="37" t="s">
        <v>2773</v>
      </c>
      <c r="B364" s="37" t="s">
        <v>2776</v>
      </c>
      <c r="C364" s="37" t="s">
        <v>2777</v>
      </c>
      <c r="D364" s="4" t="s">
        <v>1492</v>
      </c>
      <c r="E364" s="21" t="s">
        <v>376</v>
      </c>
      <c r="F364" s="4" t="s">
        <v>377</v>
      </c>
      <c r="G364" s="4" t="s">
        <v>2719</v>
      </c>
      <c r="H364" s="14" t="s">
        <v>2414</v>
      </c>
      <c r="I364" s="14" t="s">
        <v>378</v>
      </c>
      <c r="J364" s="14" t="s">
        <v>379</v>
      </c>
      <c r="K364" s="13" t="s">
        <v>11</v>
      </c>
      <c r="L364" s="13" t="s">
        <v>12</v>
      </c>
      <c r="M364" s="23">
        <v>46129</v>
      </c>
      <c r="N364" s="24">
        <v>46282</v>
      </c>
      <c r="O364" s="14" t="s">
        <v>2250</v>
      </c>
      <c r="P364" s="14" t="s">
        <v>2251</v>
      </c>
      <c r="Q364" s="42" t="str">
        <f t="shared" si="5"/>
        <v>https://ec.europa.eu/info/funding-tenders/opportunities/portal/screen/opportunities/topic-details/HORIZON-CL6-2026-01-CIRCBIO-09</v>
      </c>
    </row>
    <row r="365" spans="1:17" ht="66" customHeight="1" thickBot="1" x14ac:dyDescent="0.35">
      <c r="A365" s="37" t="s">
        <v>2773</v>
      </c>
      <c r="B365" s="37" t="s">
        <v>2776</v>
      </c>
      <c r="C365" s="37" t="s">
        <v>2777</v>
      </c>
      <c r="D365" s="4" t="s">
        <v>1492</v>
      </c>
      <c r="E365" s="21" t="s">
        <v>380</v>
      </c>
      <c r="F365" s="4" t="s">
        <v>381</v>
      </c>
      <c r="G365" s="4" t="s">
        <v>2720</v>
      </c>
      <c r="H365" s="14" t="s">
        <v>2439</v>
      </c>
      <c r="I365" s="14" t="s">
        <v>382</v>
      </c>
      <c r="J365" s="14" t="s">
        <v>383</v>
      </c>
      <c r="K365" s="13" t="s">
        <v>11</v>
      </c>
      <c r="L365" s="13" t="s">
        <v>12</v>
      </c>
      <c r="M365" s="23">
        <v>46129</v>
      </c>
      <c r="N365" s="24">
        <v>46282</v>
      </c>
      <c r="O365" s="14" t="s">
        <v>2252</v>
      </c>
      <c r="P365" s="14" t="s">
        <v>2253</v>
      </c>
      <c r="Q365" s="42" t="str">
        <f t="shared" si="5"/>
        <v>https://ec.europa.eu/info/funding-tenders/opportunities/portal/screen/opportunities/topic-details/HORIZON-CL6-2026-01-CIRCBIO-10</v>
      </c>
    </row>
    <row r="366" spans="1:17" ht="66" customHeight="1" thickBot="1" x14ac:dyDescent="0.35">
      <c r="A366" s="37" t="s">
        <v>2773</v>
      </c>
      <c r="B366" s="37" t="s">
        <v>2776</v>
      </c>
      <c r="C366" s="37" t="s">
        <v>2777</v>
      </c>
      <c r="D366" s="4" t="s">
        <v>1492</v>
      </c>
      <c r="E366" s="21" t="s">
        <v>384</v>
      </c>
      <c r="F366" s="4" t="s">
        <v>385</v>
      </c>
      <c r="G366" s="4" t="s">
        <v>2721</v>
      </c>
      <c r="H366" s="14"/>
      <c r="I366" s="14" t="s">
        <v>386</v>
      </c>
      <c r="J366" s="14" t="s">
        <v>387</v>
      </c>
      <c r="K366" s="13" t="s">
        <v>11</v>
      </c>
      <c r="L366" s="13" t="s">
        <v>12</v>
      </c>
      <c r="M366" s="23">
        <v>46129</v>
      </c>
      <c r="N366" s="24">
        <v>46282</v>
      </c>
      <c r="O366" s="14" t="s">
        <v>2254</v>
      </c>
      <c r="P366" s="14" t="s">
        <v>2255</v>
      </c>
      <c r="Q366" s="42" t="str">
        <f t="shared" si="5"/>
        <v>https://ec.europa.eu/info/funding-tenders/opportunities/portal/screen/opportunities/topic-details/HORIZON-CL6-2026-01-CIRCBIO-11</v>
      </c>
    </row>
    <row r="367" spans="1:17" ht="66" customHeight="1" thickBot="1" x14ac:dyDescent="0.35">
      <c r="A367" s="37" t="s">
        <v>2773</v>
      </c>
      <c r="B367" s="37" t="s">
        <v>2776</v>
      </c>
      <c r="C367" s="37" t="s">
        <v>2777</v>
      </c>
      <c r="D367" s="4" t="s">
        <v>1492</v>
      </c>
      <c r="E367" s="21" t="s">
        <v>388</v>
      </c>
      <c r="F367" s="4" t="s">
        <v>389</v>
      </c>
      <c r="G367" s="4" t="s">
        <v>2722</v>
      </c>
      <c r="H367" s="14" t="s">
        <v>2454</v>
      </c>
      <c r="I367" s="14" t="s">
        <v>361</v>
      </c>
      <c r="J367" s="14" t="s">
        <v>390</v>
      </c>
      <c r="K367" s="13" t="s">
        <v>50</v>
      </c>
      <c r="L367" s="13" t="s">
        <v>35</v>
      </c>
      <c r="M367" s="23">
        <v>46065</v>
      </c>
      <c r="N367" s="24" t="s">
        <v>210</v>
      </c>
      <c r="O367" s="14" t="s">
        <v>2256</v>
      </c>
      <c r="P367" s="14" t="s">
        <v>2257</v>
      </c>
      <c r="Q367" s="42" t="str">
        <f t="shared" si="5"/>
        <v>https://ec.europa.eu/info/funding-tenders/opportunities/portal/screen/opportunities/topic-details/HORIZON-CL6-2026-01-CIRCBIO-01-two-stage</v>
      </c>
    </row>
    <row r="368" spans="1:17" ht="66" customHeight="1" thickBot="1" x14ac:dyDescent="0.35">
      <c r="A368" s="37" t="s">
        <v>2773</v>
      </c>
      <c r="B368" s="37" t="s">
        <v>2776</v>
      </c>
      <c r="C368" s="37" t="s">
        <v>2777</v>
      </c>
      <c r="D368" s="4" t="s">
        <v>1492</v>
      </c>
      <c r="E368" s="21" t="s">
        <v>391</v>
      </c>
      <c r="F368" s="4" t="s">
        <v>392</v>
      </c>
      <c r="G368" s="4" t="s">
        <v>2723</v>
      </c>
      <c r="H368" s="14"/>
      <c r="I368" s="14" t="s">
        <v>393</v>
      </c>
      <c r="J368" s="14" t="s">
        <v>394</v>
      </c>
      <c r="K368" s="13" t="s">
        <v>50</v>
      </c>
      <c r="L368" s="13" t="s">
        <v>35</v>
      </c>
      <c r="M368" s="23">
        <v>46065</v>
      </c>
      <c r="N368" s="24" t="s">
        <v>210</v>
      </c>
      <c r="O368" s="14" t="s">
        <v>2258</v>
      </c>
      <c r="P368" s="14" t="s">
        <v>2259</v>
      </c>
      <c r="Q368" s="42" t="str">
        <f t="shared" si="5"/>
        <v>https://ec.europa.eu/info/funding-tenders/opportunities/portal/screen/opportunities/topic-details/HORIZON-CL6-2026-01-CIRCBIO-02-two-stage</v>
      </c>
    </row>
    <row r="369" spans="1:17" ht="66" customHeight="1" thickBot="1" x14ac:dyDescent="0.35">
      <c r="A369" s="37" t="s">
        <v>2773</v>
      </c>
      <c r="B369" s="37" t="s">
        <v>2776</v>
      </c>
      <c r="C369" s="37" t="s">
        <v>2777</v>
      </c>
      <c r="D369" s="4" t="s">
        <v>1492</v>
      </c>
      <c r="E369" s="21" t="s">
        <v>395</v>
      </c>
      <c r="F369" s="4" t="s">
        <v>396</v>
      </c>
      <c r="G369" s="4" t="s">
        <v>2724</v>
      </c>
      <c r="H369" s="14" t="s">
        <v>2360</v>
      </c>
      <c r="I369" s="14" t="s">
        <v>357</v>
      </c>
      <c r="J369" s="14" t="s">
        <v>397</v>
      </c>
      <c r="K369" s="13" t="s">
        <v>50</v>
      </c>
      <c r="L369" s="13" t="s">
        <v>12</v>
      </c>
      <c r="M369" s="23">
        <v>46497</v>
      </c>
      <c r="N369" s="24">
        <v>46652</v>
      </c>
      <c r="O369" s="14" t="s">
        <v>2260</v>
      </c>
      <c r="P369" s="14" t="s">
        <v>2261</v>
      </c>
      <c r="Q369" s="42" t="str">
        <f t="shared" si="5"/>
        <v>https://ec.europa.eu/info/funding-tenders/opportunities/portal/screen/opportunities/topic-details/HORIZON-CL6-2027-01-CIRCBIO-01</v>
      </c>
    </row>
    <row r="370" spans="1:17" ht="66" customHeight="1" thickBot="1" x14ac:dyDescent="0.35">
      <c r="A370" s="37" t="s">
        <v>2773</v>
      </c>
      <c r="B370" s="37" t="s">
        <v>2776</v>
      </c>
      <c r="C370" s="37" t="s">
        <v>2777</v>
      </c>
      <c r="D370" s="4" t="s">
        <v>1492</v>
      </c>
      <c r="E370" s="21" t="s">
        <v>398</v>
      </c>
      <c r="F370" s="4" t="s">
        <v>399</v>
      </c>
      <c r="G370" s="4" t="s">
        <v>2725</v>
      </c>
      <c r="H370" s="14"/>
      <c r="I370" s="14" t="s">
        <v>357</v>
      </c>
      <c r="J370" s="14" t="s">
        <v>400</v>
      </c>
      <c r="K370" s="13" t="s">
        <v>50</v>
      </c>
      <c r="L370" s="13" t="s">
        <v>12</v>
      </c>
      <c r="M370" s="23">
        <v>46497</v>
      </c>
      <c r="N370" s="24">
        <v>46652</v>
      </c>
      <c r="O370" s="14" t="s">
        <v>2262</v>
      </c>
      <c r="P370" s="14" t="s">
        <v>2263</v>
      </c>
      <c r="Q370" s="42" t="str">
        <f t="shared" si="5"/>
        <v>https://ec.europa.eu/info/funding-tenders/opportunities/portal/screen/opportunities/topic-details/HORIZON-CL6-2027-01-CIRCBIO-02</v>
      </c>
    </row>
    <row r="371" spans="1:17" ht="66" customHeight="1" thickBot="1" x14ac:dyDescent="0.35">
      <c r="A371" s="37" t="s">
        <v>2773</v>
      </c>
      <c r="B371" s="37" t="s">
        <v>2776</v>
      </c>
      <c r="C371" s="37" t="s">
        <v>2777</v>
      </c>
      <c r="D371" s="4" t="s">
        <v>1492</v>
      </c>
      <c r="E371" s="21" t="s">
        <v>401</v>
      </c>
      <c r="F371" s="4" t="s">
        <v>402</v>
      </c>
      <c r="G371" s="4" t="s">
        <v>2726</v>
      </c>
      <c r="H371" s="14"/>
      <c r="I371" s="14" t="s">
        <v>403</v>
      </c>
      <c r="J371" s="14" t="s">
        <v>404</v>
      </c>
      <c r="K371" s="13" t="s">
        <v>11</v>
      </c>
      <c r="L371" s="13" t="s">
        <v>12</v>
      </c>
      <c r="M371" s="23">
        <v>46497</v>
      </c>
      <c r="N371" s="24">
        <v>46652</v>
      </c>
      <c r="O371" s="14" t="s">
        <v>2264</v>
      </c>
      <c r="P371" s="14" t="s">
        <v>2265</v>
      </c>
      <c r="Q371" s="42" t="str">
        <f t="shared" si="5"/>
        <v>https://ec.europa.eu/info/funding-tenders/opportunities/portal/screen/opportunities/topic-details/HORIZON-CL6-2027-01-CIRCBIO-03</v>
      </c>
    </row>
    <row r="372" spans="1:17" ht="66" customHeight="1" thickBot="1" x14ac:dyDescent="0.35">
      <c r="A372" s="37" t="s">
        <v>2773</v>
      </c>
      <c r="B372" s="37" t="s">
        <v>2776</v>
      </c>
      <c r="C372" s="37" t="s">
        <v>2777</v>
      </c>
      <c r="D372" s="4" t="s">
        <v>1492</v>
      </c>
      <c r="E372" s="21" t="s">
        <v>405</v>
      </c>
      <c r="F372" s="4" t="s">
        <v>406</v>
      </c>
      <c r="G372" s="4" t="s">
        <v>2727</v>
      </c>
      <c r="H372" s="14" t="s">
        <v>2414</v>
      </c>
      <c r="I372" s="14" t="s">
        <v>407</v>
      </c>
      <c r="J372" s="14" t="s">
        <v>408</v>
      </c>
      <c r="K372" s="13" t="s">
        <v>11</v>
      </c>
      <c r="L372" s="13" t="s">
        <v>12</v>
      </c>
      <c r="M372" s="23">
        <v>46497</v>
      </c>
      <c r="N372" s="24">
        <v>46652</v>
      </c>
      <c r="O372" s="14" t="s">
        <v>2266</v>
      </c>
      <c r="P372" s="14" t="s">
        <v>2267</v>
      </c>
      <c r="Q372" s="42" t="str">
        <f t="shared" si="5"/>
        <v>https://ec.europa.eu/info/funding-tenders/opportunities/portal/screen/opportunities/topic-details/HORIZON-CL6-2027-01-CIRCBIO-04</v>
      </c>
    </row>
    <row r="373" spans="1:17" ht="66" customHeight="1" thickBot="1" x14ac:dyDescent="0.35">
      <c r="A373" s="37" t="s">
        <v>2773</v>
      </c>
      <c r="B373" s="37" t="s">
        <v>2776</v>
      </c>
      <c r="C373" s="37" t="s">
        <v>2777</v>
      </c>
      <c r="D373" s="4" t="s">
        <v>1492</v>
      </c>
      <c r="E373" s="21" t="s">
        <v>409</v>
      </c>
      <c r="F373" s="4" t="s">
        <v>410</v>
      </c>
      <c r="G373" s="4" t="s">
        <v>2728</v>
      </c>
      <c r="H373" s="14" t="s">
        <v>2414</v>
      </c>
      <c r="I373" s="14" t="s">
        <v>411</v>
      </c>
      <c r="J373" s="14" t="s">
        <v>412</v>
      </c>
      <c r="K373" s="13" t="s">
        <v>11</v>
      </c>
      <c r="L373" s="13" t="s">
        <v>12</v>
      </c>
      <c r="M373" s="23">
        <v>46497</v>
      </c>
      <c r="N373" s="24">
        <v>46652</v>
      </c>
      <c r="O373" s="14" t="s">
        <v>2268</v>
      </c>
      <c r="P373" s="14" t="s">
        <v>2269</v>
      </c>
      <c r="Q373" s="42" t="str">
        <f t="shared" si="5"/>
        <v>https://ec.europa.eu/info/funding-tenders/opportunities/portal/screen/opportunities/topic-details/HORIZON-CL6-2027-01-CIRCBIO-05</v>
      </c>
    </row>
    <row r="374" spans="1:17" ht="66" customHeight="1" thickBot="1" x14ac:dyDescent="0.35">
      <c r="A374" s="37" t="s">
        <v>2773</v>
      </c>
      <c r="B374" s="37" t="s">
        <v>2776</v>
      </c>
      <c r="C374" s="37" t="s">
        <v>2777</v>
      </c>
      <c r="D374" s="4" t="s">
        <v>1492</v>
      </c>
      <c r="E374" s="21" t="s">
        <v>413</v>
      </c>
      <c r="F374" s="4" t="s">
        <v>414</v>
      </c>
      <c r="G374" s="4" t="s">
        <v>2729</v>
      </c>
      <c r="H374" s="14"/>
      <c r="I374" s="14" t="s">
        <v>228</v>
      </c>
      <c r="J374" s="14" t="s">
        <v>415</v>
      </c>
      <c r="K374" s="13" t="s">
        <v>11</v>
      </c>
      <c r="L374" s="13" t="s">
        <v>12</v>
      </c>
      <c r="M374" s="23">
        <v>46497</v>
      </c>
      <c r="N374" s="24">
        <v>46652</v>
      </c>
      <c r="O374" s="14" t="s">
        <v>2270</v>
      </c>
      <c r="P374" s="14" t="s">
        <v>2271</v>
      </c>
      <c r="Q374" s="42" t="str">
        <f t="shared" si="5"/>
        <v>https://ec.europa.eu/info/funding-tenders/opportunities/portal/screen/opportunities/topic-details/HORIZON-CL6-2027-01-CIRCBIO-06</v>
      </c>
    </row>
    <row r="375" spans="1:17" ht="66" customHeight="1" thickBot="1" x14ac:dyDescent="0.35">
      <c r="A375" s="37" t="s">
        <v>2773</v>
      </c>
      <c r="B375" s="37" t="s">
        <v>2776</v>
      </c>
      <c r="C375" s="37" t="s">
        <v>2777</v>
      </c>
      <c r="D375" s="4" t="s">
        <v>1492</v>
      </c>
      <c r="E375" s="21" t="s">
        <v>416</v>
      </c>
      <c r="F375" s="4" t="s">
        <v>417</v>
      </c>
      <c r="G375" s="4" t="s">
        <v>2730</v>
      </c>
      <c r="H375" s="14"/>
      <c r="I375" s="14" t="s">
        <v>322</v>
      </c>
      <c r="J375" s="14" t="s">
        <v>418</v>
      </c>
      <c r="K375" s="13" t="s">
        <v>50</v>
      </c>
      <c r="L375" s="13" t="s">
        <v>12</v>
      </c>
      <c r="M375" s="23">
        <v>46497</v>
      </c>
      <c r="N375" s="24">
        <v>46652</v>
      </c>
      <c r="O375" s="14" t="s">
        <v>2272</v>
      </c>
      <c r="P375" s="14" t="s">
        <v>2273</v>
      </c>
      <c r="Q375" s="42" t="str">
        <f t="shared" si="5"/>
        <v>https://ec.europa.eu/info/funding-tenders/opportunities/portal/screen/opportunities/topic-details/HORIZON-CL6-2027-01-CIRCBIO-07</v>
      </c>
    </row>
    <row r="376" spans="1:17" ht="66" customHeight="1" thickBot="1" x14ac:dyDescent="0.35">
      <c r="A376" s="37" t="s">
        <v>2773</v>
      </c>
      <c r="B376" s="37" t="s">
        <v>2776</v>
      </c>
      <c r="C376" s="37" t="s">
        <v>2777</v>
      </c>
      <c r="D376" s="4" t="s">
        <v>1492</v>
      </c>
      <c r="E376" s="21" t="s">
        <v>419</v>
      </c>
      <c r="F376" s="4" t="s">
        <v>420</v>
      </c>
      <c r="G376" s="4" t="s">
        <v>2731</v>
      </c>
      <c r="H376" s="14"/>
      <c r="I376" s="14" t="s">
        <v>276</v>
      </c>
      <c r="J376" s="14" t="s">
        <v>421</v>
      </c>
      <c r="K376" s="13" t="s">
        <v>50</v>
      </c>
      <c r="L376" s="13" t="s">
        <v>12</v>
      </c>
      <c r="M376" s="23">
        <v>46497</v>
      </c>
      <c r="N376" s="24">
        <v>46652</v>
      </c>
      <c r="O376" s="14" t="s">
        <v>2274</v>
      </c>
      <c r="P376" s="14" t="s">
        <v>2275</v>
      </c>
      <c r="Q376" s="42" t="str">
        <f t="shared" si="5"/>
        <v>https://ec.europa.eu/info/funding-tenders/opportunities/portal/screen/opportunities/topic-details/HORIZON-CL6-2027-01-CIRCBIO-08</v>
      </c>
    </row>
    <row r="377" spans="1:17" ht="66" customHeight="1" thickBot="1" x14ac:dyDescent="0.35">
      <c r="A377" s="37" t="s">
        <v>2773</v>
      </c>
      <c r="B377" s="37" t="s">
        <v>2776</v>
      </c>
      <c r="C377" s="37" t="s">
        <v>2777</v>
      </c>
      <c r="D377" s="4" t="s">
        <v>1492</v>
      </c>
      <c r="E377" s="21" t="s">
        <v>422</v>
      </c>
      <c r="F377" s="4" t="s">
        <v>423</v>
      </c>
      <c r="G377" s="4" t="s">
        <v>2732</v>
      </c>
      <c r="H377" s="14" t="s">
        <v>2455</v>
      </c>
      <c r="I377" s="14" t="s">
        <v>424</v>
      </c>
      <c r="J377" s="14" t="s">
        <v>425</v>
      </c>
      <c r="K377" s="13" t="s">
        <v>50</v>
      </c>
      <c r="L377" s="13" t="s">
        <v>12</v>
      </c>
      <c r="M377" s="23">
        <v>46497</v>
      </c>
      <c r="N377" s="24">
        <v>46652</v>
      </c>
      <c r="O377" s="14" t="s">
        <v>2276</v>
      </c>
      <c r="P377" s="14" t="s">
        <v>2277</v>
      </c>
      <c r="Q377" s="42" t="str">
        <f t="shared" si="5"/>
        <v>https://ec.europa.eu/info/funding-tenders/opportunities/portal/screen/opportunities/topic-details/HORIZON-CL6-2027-01-CIRCBIO-09</v>
      </c>
    </row>
    <row r="378" spans="1:17" ht="66" customHeight="1" thickBot="1" x14ac:dyDescent="0.35">
      <c r="A378" s="37" t="s">
        <v>2773</v>
      </c>
      <c r="B378" s="37" t="s">
        <v>2776</v>
      </c>
      <c r="C378" s="37" t="s">
        <v>2777</v>
      </c>
      <c r="D378" s="4" t="s">
        <v>1492</v>
      </c>
      <c r="E378" s="21" t="s">
        <v>426</v>
      </c>
      <c r="F378" s="4" t="s">
        <v>427</v>
      </c>
      <c r="G378" s="4" t="s">
        <v>2733</v>
      </c>
      <c r="H378" s="14"/>
      <c r="I378" s="14" t="s">
        <v>220</v>
      </c>
      <c r="J378" s="14" t="s">
        <v>428</v>
      </c>
      <c r="K378" s="13" t="s">
        <v>11</v>
      </c>
      <c r="L378" s="13" t="s">
        <v>12</v>
      </c>
      <c r="M378" s="23">
        <v>46497</v>
      </c>
      <c r="N378" s="24">
        <v>46652</v>
      </c>
      <c r="O378" s="14" t="s">
        <v>2278</v>
      </c>
      <c r="P378" s="14" t="s">
        <v>2279</v>
      </c>
      <c r="Q378" s="42" t="str">
        <f t="shared" si="5"/>
        <v>https://ec.europa.eu/info/funding-tenders/opportunities/portal/screen/opportunities/topic-details/HORIZON-CL6-2027-01-CIRCBIO-10</v>
      </c>
    </row>
    <row r="379" spans="1:17" ht="66" customHeight="1" thickBot="1" x14ac:dyDescent="0.35">
      <c r="A379" s="37" t="s">
        <v>2773</v>
      </c>
      <c r="B379" s="37" t="s">
        <v>2776</v>
      </c>
      <c r="C379" s="37" t="s">
        <v>2777</v>
      </c>
      <c r="D379" s="4" t="s">
        <v>1492</v>
      </c>
      <c r="E379" s="21" t="s">
        <v>429</v>
      </c>
      <c r="F379" s="4" t="s">
        <v>389</v>
      </c>
      <c r="G379" s="4" t="s">
        <v>2734</v>
      </c>
      <c r="H379" s="14" t="s">
        <v>2454</v>
      </c>
      <c r="I379" s="14" t="s">
        <v>361</v>
      </c>
      <c r="J379" s="14" t="s">
        <v>430</v>
      </c>
      <c r="K379" s="13" t="s">
        <v>50</v>
      </c>
      <c r="L379" s="13" t="s">
        <v>35</v>
      </c>
      <c r="M379" s="23">
        <v>46422</v>
      </c>
      <c r="N379" s="24" t="s">
        <v>431</v>
      </c>
      <c r="O379" s="14" t="s">
        <v>2280</v>
      </c>
      <c r="P379" s="14" t="s">
        <v>2281</v>
      </c>
      <c r="Q379" s="42" t="str">
        <f t="shared" si="5"/>
        <v>https://ec.europa.eu/info/funding-tenders/opportunities/portal/screen/opportunities/topic-details/HORIZON-CL6-2027-01-CIRCBIO-01-two-stage</v>
      </c>
    </row>
    <row r="380" spans="1:17" ht="66" customHeight="1" thickBot="1" x14ac:dyDescent="0.35">
      <c r="A380" s="37" t="s">
        <v>2773</v>
      </c>
      <c r="B380" s="37" t="s">
        <v>2776</v>
      </c>
      <c r="C380" s="37" t="s">
        <v>2777</v>
      </c>
      <c r="D380" s="4" t="s">
        <v>1492</v>
      </c>
      <c r="E380" s="21" t="s">
        <v>432</v>
      </c>
      <c r="F380" s="4" t="s">
        <v>392</v>
      </c>
      <c r="G380" s="4" t="s">
        <v>2735</v>
      </c>
      <c r="H380" s="14"/>
      <c r="I380" s="14" t="s">
        <v>393</v>
      </c>
      <c r="J380" s="14" t="s">
        <v>433</v>
      </c>
      <c r="K380" s="13" t="s">
        <v>50</v>
      </c>
      <c r="L380" s="13" t="s">
        <v>35</v>
      </c>
      <c r="M380" s="23">
        <v>46422</v>
      </c>
      <c r="N380" s="24" t="s">
        <v>431</v>
      </c>
      <c r="O380" s="14" t="s">
        <v>2282</v>
      </c>
      <c r="P380" s="14" t="s">
        <v>2283</v>
      </c>
      <c r="Q380" s="42" t="str">
        <f t="shared" si="5"/>
        <v>https://ec.europa.eu/info/funding-tenders/opportunities/portal/screen/opportunities/topic-details/HORIZON-CL6-2027-01-CIRCBIO-02-two-stage</v>
      </c>
    </row>
    <row r="381" spans="1:17" ht="66" customHeight="1" thickBot="1" x14ac:dyDescent="0.35">
      <c r="A381" s="37" t="s">
        <v>2773</v>
      </c>
      <c r="B381" s="37" t="s">
        <v>2776</v>
      </c>
      <c r="C381" s="37" t="s">
        <v>2777</v>
      </c>
      <c r="D381" s="4" t="s">
        <v>1492</v>
      </c>
      <c r="E381" s="21" t="s">
        <v>434</v>
      </c>
      <c r="F381" s="4" t="s">
        <v>435</v>
      </c>
      <c r="G381" s="4" t="s">
        <v>2736</v>
      </c>
      <c r="H381" s="14"/>
      <c r="I381" s="14" t="s">
        <v>193</v>
      </c>
      <c r="J381" s="14" t="s">
        <v>454</v>
      </c>
      <c r="K381" s="13" t="s">
        <v>11</v>
      </c>
      <c r="L381" s="13" t="s">
        <v>12</v>
      </c>
      <c r="M381" s="23">
        <v>46129</v>
      </c>
      <c r="N381" s="24">
        <v>46282</v>
      </c>
      <c r="O381" s="14" t="s">
        <v>2284</v>
      </c>
      <c r="P381" s="14" t="s">
        <v>2285</v>
      </c>
      <c r="Q381" s="42" t="str">
        <f t="shared" si="5"/>
        <v>https://ec.europa.eu/info/funding-tenders/opportunities/portal/screen/opportunities/topic-details/HORIZON-CL6-2026-01-ZEROPOLLUTION-01</v>
      </c>
    </row>
    <row r="382" spans="1:17" ht="66" customHeight="1" thickBot="1" x14ac:dyDescent="0.35">
      <c r="A382" s="37" t="s">
        <v>2773</v>
      </c>
      <c r="B382" s="37" t="s">
        <v>2776</v>
      </c>
      <c r="C382" s="37" t="s">
        <v>2777</v>
      </c>
      <c r="D382" s="4" t="s">
        <v>1492</v>
      </c>
      <c r="E382" s="21" t="s">
        <v>436</v>
      </c>
      <c r="F382" s="4" t="s">
        <v>437</v>
      </c>
      <c r="G382" s="4" t="s">
        <v>2737</v>
      </c>
      <c r="H382" s="14" t="s">
        <v>2456</v>
      </c>
      <c r="I382" s="14" t="s">
        <v>276</v>
      </c>
      <c r="J382" s="14" t="s">
        <v>455</v>
      </c>
      <c r="K382" s="13" t="s">
        <v>50</v>
      </c>
      <c r="L382" s="13" t="s">
        <v>12</v>
      </c>
      <c r="M382" s="23">
        <v>46129</v>
      </c>
      <c r="N382" s="24">
        <v>46282</v>
      </c>
      <c r="O382" s="14" t="s">
        <v>2286</v>
      </c>
      <c r="P382" s="14" t="s">
        <v>2287</v>
      </c>
      <c r="Q382" s="42" t="str">
        <f t="shared" si="5"/>
        <v>https://ec.europa.eu/info/funding-tenders/opportunities/portal/screen/opportunities/topic-details/HORIZON-CL6-2026-01-ZEROPOLLUTION-02</v>
      </c>
    </row>
    <row r="383" spans="1:17" ht="66" customHeight="1" thickBot="1" x14ac:dyDescent="0.35">
      <c r="A383" s="37" t="s">
        <v>2773</v>
      </c>
      <c r="B383" s="37" t="s">
        <v>2776</v>
      </c>
      <c r="C383" s="37" t="s">
        <v>2777</v>
      </c>
      <c r="D383" s="4" t="s">
        <v>1492</v>
      </c>
      <c r="E383" s="21" t="s">
        <v>438</v>
      </c>
      <c r="F383" s="4" t="s">
        <v>439</v>
      </c>
      <c r="G383" s="4" t="s">
        <v>2738</v>
      </c>
      <c r="H383" s="14"/>
      <c r="I383" s="14" t="s">
        <v>440</v>
      </c>
      <c r="J383" s="14" t="s">
        <v>456</v>
      </c>
      <c r="K383" s="13" t="s">
        <v>11</v>
      </c>
      <c r="L383" s="13" t="s">
        <v>12</v>
      </c>
      <c r="M383" s="23">
        <v>46129</v>
      </c>
      <c r="N383" s="24">
        <v>46282</v>
      </c>
      <c r="O383" s="14" t="s">
        <v>2288</v>
      </c>
      <c r="P383" s="14" t="s">
        <v>2289</v>
      </c>
      <c r="Q383" s="42" t="str">
        <f t="shared" si="5"/>
        <v>https://ec.europa.eu/info/funding-tenders/opportunities/portal/screen/opportunities/topic-details/HORIZON-CL6-2026-01-ZEROPOLLUTION-03</v>
      </c>
    </row>
    <row r="384" spans="1:17" ht="66" customHeight="1" thickBot="1" x14ac:dyDescent="0.35">
      <c r="A384" s="37" t="s">
        <v>2773</v>
      </c>
      <c r="B384" s="37" t="s">
        <v>2776</v>
      </c>
      <c r="C384" s="37" t="s">
        <v>2777</v>
      </c>
      <c r="D384" s="4" t="s">
        <v>1492</v>
      </c>
      <c r="E384" s="21" t="s">
        <v>441</v>
      </c>
      <c r="F384" s="4" t="s">
        <v>442</v>
      </c>
      <c r="G384" s="4" t="s">
        <v>2739</v>
      </c>
      <c r="H384" s="14"/>
      <c r="I384" s="14" t="s">
        <v>276</v>
      </c>
      <c r="J384" s="14" t="s">
        <v>457</v>
      </c>
      <c r="K384" s="13" t="s">
        <v>11</v>
      </c>
      <c r="L384" s="13" t="s">
        <v>35</v>
      </c>
      <c r="M384" s="23">
        <v>46065</v>
      </c>
      <c r="N384" s="24" t="s">
        <v>210</v>
      </c>
      <c r="O384" s="14" t="s">
        <v>2290</v>
      </c>
      <c r="P384" s="14" t="s">
        <v>2291</v>
      </c>
      <c r="Q384" s="42" t="str">
        <f t="shared" si="5"/>
        <v>https://ec.europa.eu/info/funding-tenders/opportunities/portal/screen/opportunities/topic-details/HORIZON-CL6-2026-01-ZEROPOLLUTION-01-two-stage</v>
      </c>
    </row>
    <row r="385" spans="1:17" ht="66" customHeight="1" thickBot="1" x14ac:dyDescent="0.35">
      <c r="A385" s="37" t="s">
        <v>2773</v>
      </c>
      <c r="B385" s="37" t="s">
        <v>2776</v>
      </c>
      <c r="C385" s="37" t="s">
        <v>2777</v>
      </c>
      <c r="D385" s="4" t="s">
        <v>1492</v>
      </c>
      <c r="E385" s="21" t="s">
        <v>443</v>
      </c>
      <c r="F385" s="4" t="s">
        <v>444</v>
      </c>
      <c r="G385" s="4" t="s">
        <v>2740</v>
      </c>
      <c r="H385" s="14" t="s">
        <v>2456</v>
      </c>
      <c r="I385" s="14" t="s">
        <v>445</v>
      </c>
      <c r="J385" s="14" t="s">
        <v>458</v>
      </c>
      <c r="K385" s="13" t="s">
        <v>11</v>
      </c>
      <c r="L385" s="13" t="s">
        <v>12</v>
      </c>
      <c r="M385" s="23">
        <v>46497</v>
      </c>
      <c r="N385" s="24">
        <v>46652</v>
      </c>
      <c r="O385" s="14" t="s">
        <v>2292</v>
      </c>
      <c r="P385" s="14" t="s">
        <v>2293</v>
      </c>
      <c r="Q385" s="42" t="str">
        <f t="shared" si="5"/>
        <v>https://ec.europa.eu/info/funding-tenders/opportunities/portal/screen/opportunities/topic-details/HORIZON-CL6-2027-01-ZEROPOLLUTION-01</v>
      </c>
    </row>
    <row r="386" spans="1:17" ht="66" customHeight="1" thickBot="1" x14ac:dyDescent="0.35">
      <c r="A386" s="37" t="s">
        <v>2773</v>
      </c>
      <c r="B386" s="37" t="s">
        <v>2776</v>
      </c>
      <c r="C386" s="37" t="s">
        <v>2777</v>
      </c>
      <c r="D386" s="4" t="s">
        <v>1492</v>
      </c>
      <c r="E386" s="21" t="s">
        <v>446</v>
      </c>
      <c r="F386" s="4" t="s">
        <v>447</v>
      </c>
      <c r="G386" s="4" t="s">
        <v>2741</v>
      </c>
      <c r="H386" s="14" t="s">
        <v>2456</v>
      </c>
      <c r="I386" s="14" t="s">
        <v>99</v>
      </c>
      <c r="J386" s="14" t="s">
        <v>459</v>
      </c>
      <c r="K386" s="13" t="s">
        <v>11</v>
      </c>
      <c r="L386" s="13" t="s">
        <v>12</v>
      </c>
      <c r="M386" s="23">
        <v>46497</v>
      </c>
      <c r="N386" s="24">
        <v>46652</v>
      </c>
      <c r="O386" s="14" t="s">
        <v>2294</v>
      </c>
      <c r="P386" s="14" t="s">
        <v>2295</v>
      </c>
      <c r="Q386" s="42" t="str">
        <f t="shared" si="5"/>
        <v>https://ec.europa.eu/info/funding-tenders/opportunities/portal/screen/opportunities/topic-details/HORIZON-CL6-2027-01-ZEROPOLLUTION-02</v>
      </c>
    </row>
    <row r="387" spans="1:17" ht="66" customHeight="1" thickBot="1" x14ac:dyDescent="0.35">
      <c r="A387" s="37" t="s">
        <v>2773</v>
      </c>
      <c r="B387" s="37" t="s">
        <v>2776</v>
      </c>
      <c r="C387" s="37" t="s">
        <v>2777</v>
      </c>
      <c r="D387" s="4" t="s">
        <v>1492</v>
      </c>
      <c r="E387" s="21" t="s">
        <v>448</v>
      </c>
      <c r="F387" s="4" t="s">
        <v>449</v>
      </c>
      <c r="G387" s="4" t="s">
        <v>2742</v>
      </c>
      <c r="H387" s="14"/>
      <c r="I387" s="14" t="s">
        <v>312</v>
      </c>
      <c r="J387" s="14" t="s">
        <v>450</v>
      </c>
      <c r="K387" s="13" t="s">
        <v>11</v>
      </c>
      <c r="L387" s="13" t="s">
        <v>12</v>
      </c>
      <c r="M387" s="23">
        <v>46497</v>
      </c>
      <c r="N387" s="24">
        <v>46652</v>
      </c>
      <c r="O387" s="14" t="s">
        <v>2296</v>
      </c>
      <c r="P387" s="14" t="s">
        <v>2297</v>
      </c>
      <c r="Q387" s="42" t="str">
        <f t="shared" si="5"/>
        <v>https://ec.europa.eu/info/funding-tenders/opportunities/portal/screen/opportunities/topic-details/HORIZON-CL6-2027-01-ZEROPOLLUTION-03</v>
      </c>
    </row>
    <row r="388" spans="1:17" ht="66" customHeight="1" thickBot="1" x14ac:dyDescent="0.35">
      <c r="A388" s="37" t="s">
        <v>2773</v>
      </c>
      <c r="B388" s="37" t="s">
        <v>2776</v>
      </c>
      <c r="C388" s="37" t="s">
        <v>2777</v>
      </c>
      <c r="D388" s="4" t="s">
        <v>1492</v>
      </c>
      <c r="E388" s="21" t="s">
        <v>451</v>
      </c>
      <c r="F388" s="4" t="s">
        <v>452</v>
      </c>
      <c r="G388" s="4" t="s">
        <v>2743</v>
      </c>
      <c r="H388" s="14"/>
      <c r="I388" s="14" t="s">
        <v>322</v>
      </c>
      <c r="J388" s="14" t="s">
        <v>453</v>
      </c>
      <c r="K388" s="13" t="s">
        <v>16</v>
      </c>
      <c r="L388" s="13" t="s">
        <v>12</v>
      </c>
      <c r="M388" s="23">
        <v>46497</v>
      </c>
      <c r="N388" s="24">
        <v>46652</v>
      </c>
      <c r="O388" s="14" t="s">
        <v>2298</v>
      </c>
      <c r="P388" s="14" t="s">
        <v>2299</v>
      </c>
      <c r="Q388" s="42" t="str">
        <f t="shared" si="5"/>
        <v>https://ec.europa.eu/info/funding-tenders/opportunities/portal/screen/opportunities/topic-details/HORIZON-CL6-2027-01-ZEROPOLLUTION-04</v>
      </c>
    </row>
    <row r="389" spans="1:17" ht="66" customHeight="1" thickBot="1" x14ac:dyDescent="0.35">
      <c r="A389" s="37" t="s">
        <v>2773</v>
      </c>
      <c r="B389" s="37" t="s">
        <v>2776</v>
      </c>
      <c r="C389" s="37" t="s">
        <v>2777</v>
      </c>
      <c r="D389" s="4" t="s">
        <v>1492</v>
      </c>
      <c r="E389" s="21" t="s">
        <v>460</v>
      </c>
      <c r="F389" s="4" t="s">
        <v>461</v>
      </c>
      <c r="G389" s="4" t="s">
        <v>2744</v>
      </c>
      <c r="H389" s="14" t="s">
        <v>2457</v>
      </c>
      <c r="I389" s="14" t="s">
        <v>201</v>
      </c>
      <c r="J389" s="14" t="s">
        <v>462</v>
      </c>
      <c r="K389" s="13" t="s">
        <v>11</v>
      </c>
      <c r="L389" s="13" t="s">
        <v>12</v>
      </c>
      <c r="M389" s="23">
        <v>46036</v>
      </c>
      <c r="N389" s="24">
        <v>46126</v>
      </c>
      <c r="O389" s="14" t="s">
        <v>2300</v>
      </c>
      <c r="P389" s="14" t="s">
        <v>2301</v>
      </c>
      <c r="Q389" s="42" t="str">
        <f t="shared" si="5"/>
        <v>https://ec.europa.eu/info/funding-tenders/opportunities/portal/screen/opportunities/topic-details/HORIZON-CL6-2026-02-CLIMATE-01</v>
      </c>
    </row>
    <row r="390" spans="1:17" ht="66" customHeight="1" thickBot="1" x14ac:dyDescent="0.35">
      <c r="A390" s="37" t="s">
        <v>2773</v>
      </c>
      <c r="B390" s="37" t="s">
        <v>2776</v>
      </c>
      <c r="C390" s="37" t="s">
        <v>2777</v>
      </c>
      <c r="D390" s="4" t="s">
        <v>1492</v>
      </c>
      <c r="E390" s="21" t="s">
        <v>463</v>
      </c>
      <c r="F390" s="4" t="s">
        <v>464</v>
      </c>
      <c r="G390" s="4" t="s">
        <v>2745</v>
      </c>
      <c r="H390" s="14"/>
      <c r="I390" s="14" t="s">
        <v>440</v>
      </c>
      <c r="J390" s="14" t="s">
        <v>465</v>
      </c>
      <c r="K390" s="13" t="s">
        <v>11</v>
      </c>
      <c r="L390" s="13" t="s">
        <v>12</v>
      </c>
      <c r="M390" s="23">
        <v>46036</v>
      </c>
      <c r="N390" s="24">
        <v>46126</v>
      </c>
      <c r="O390" s="14" t="s">
        <v>2302</v>
      </c>
      <c r="P390" s="14" t="s">
        <v>2303</v>
      </c>
      <c r="Q390" s="42" t="str">
        <f t="shared" si="5"/>
        <v>https://ec.europa.eu/info/funding-tenders/opportunities/portal/screen/opportunities/topic-details/HORIZON-CL6-2026-02-CLIMATE-02</v>
      </c>
    </row>
    <row r="391" spans="1:17" ht="66" customHeight="1" thickBot="1" x14ac:dyDescent="0.35">
      <c r="A391" s="37" t="s">
        <v>2773</v>
      </c>
      <c r="B391" s="37" t="s">
        <v>2776</v>
      </c>
      <c r="C391" s="37" t="s">
        <v>2777</v>
      </c>
      <c r="D391" s="4" t="s">
        <v>1492</v>
      </c>
      <c r="E391" s="21" t="s">
        <v>466</v>
      </c>
      <c r="F391" s="4" t="s">
        <v>467</v>
      </c>
      <c r="G391" s="4" t="s">
        <v>2746</v>
      </c>
      <c r="H391" s="14" t="s">
        <v>2458</v>
      </c>
      <c r="I391" s="14" t="s">
        <v>468</v>
      </c>
      <c r="J391" s="14" t="s">
        <v>469</v>
      </c>
      <c r="K391" s="13" t="s">
        <v>11</v>
      </c>
      <c r="L391" s="13" t="s">
        <v>12</v>
      </c>
      <c r="M391" s="23">
        <v>46497</v>
      </c>
      <c r="N391" s="24">
        <v>46653</v>
      </c>
      <c r="O391" s="14" t="s">
        <v>2304</v>
      </c>
      <c r="P391" s="14" t="s">
        <v>2305</v>
      </c>
      <c r="Q391" s="42" t="str">
        <f t="shared" si="5"/>
        <v>https://ec.europa.eu/info/funding-tenders/opportunities/portal/screen/opportunities/topic-details/HORIZON-CL6-2027-02-CLIMATE-01</v>
      </c>
    </row>
    <row r="392" spans="1:17" ht="66" customHeight="1" thickBot="1" x14ac:dyDescent="0.35">
      <c r="A392" s="37" t="s">
        <v>2773</v>
      </c>
      <c r="B392" s="37" t="s">
        <v>2776</v>
      </c>
      <c r="C392" s="37" t="s">
        <v>2777</v>
      </c>
      <c r="D392" s="4" t="s">
        <v>1492</v>
      </c>
      <c r="E392" s="21" t="s">
        <v>470</v>
      </c>
      <c r="F392" s="4" t="s">
        <v>471</v>
      </c>
      <c r="G392" s="4" t="s">
        <v>2747</v>
      </c>
      <c r="H392" s="14" t="s">
        <v>2439</v>
      </c>
      <c r="I392" s="14" t="s">
        <v>220</v>
      </c>
      <c r="J392" s="14" t="s">
        <v>472</v>
      </c>
      <c r="K392" s="13" t="s">
        <v>11</v>
      </c>
      <c r="L392" s="13" t="s">
        <v>12</v>
      </c>
      <c r="M392" s="23">
        <v>46497</v>
      </c>
      <c r="N392" s="24">
        <v>46653</v>
      </c>
      <c r="O392" s="14" t="s">
        <v>2306</v>
      </c>
      <c r="P392" s="14" t="s">
        <v>2307</v>
      </c>
      <c r="Q392" s="42" t="str">
        <f t="shared" si="5"/>
        <v>https://ec.europa.eu/info/funding-tenders/opportunities/portal/screen/opportunities/topic-details/HORIZON-CL6-2027-02-CLIMATE-02</v>
      </c>
    </row>
    <row r="393" spans="1:17" ht="66" customHeight="1" thickBot="1" x14ac:dyDescent="0.35">
      <c r="A393" s="37" t="s">
        <v>2773</v>
      </c>
      <c r="B393" s="37" t="s">
        <v>2776</v>
      </c>
      <c r="C393" s="37" t="s">
        <v>2777</v>
      </c>
      <c r="D393" s="4" t="s">
        <v>1492</v>
      </c>
      <c r="E393" s="21" t="s">
        <v>473</v>
      </c>
      <c r="F393" s="4" t="s">
        <v>474</v>
      </c>
      <c r="G393" s="4" t="s">
        <v>2748</v>
      </c>
      <c r="H393" s="14"/>
      <c r="I393" s="14" t="s">
        <v>201</v>
      </c>
      <c r="J393" s="14" t="s">
        <v>475</v>
      </c>
      <c r="K393" s="13" t="s">
        <v>11</v>
      </c>
      <c r="L393" s="13" t="s">
        <v>12</v>
      </c>
      <c r="M393" s="23">
        <v>46497</v>
      </c>
      <c r="N393" s="24">
        <v>46653</v>
      </c>
      <c r="O393" s="14" t="s">
        <v>2308</v>
      </c>
      <c r="P393" s="14" t="s">
        <v>2309</v>
      </c>
      <c r="Q393" s="42" t="str">
        <f t="shared" ref="Q393:Q417" si="6">"https://ec.europa.eu/info/funding-tenders/opportunities/portal/screen/opportunities/topic-details/" &amp; E393</f>
        <v>https://ec.europa.eu/info/funding-tenders/opportunities/portal/screen/opportunities/topic-details/HORIZON-CL6-2027-02-CLIMATE-03</v>
      </c>
    </row>
    <row r="394" spans="1:17" ht="66" customHeight="1" thickBot="1" x14ac:dyDescent="0.35">
      <c r="A394" s="37" t="s">
        <v>2773</v>
      </c>
      <c r="B394" s="37" t="s">
        <v>2776</v>
      </c>
      <c r="C394" s="37" t="s">
        <v>2777</v>
      </c>
      <c r="D394" s="4" t="s">
        <v>1492</v>
      </c>
      <c r="E394" s="21" t="s">
        <v>476</v>
      </c>
      <c r="F394" s="4" t="s">
        <v>477</v>
      </c>
      <c r="G394" s="4" t="s">
        <v>2749</v>
      </c>
      <c r="H394" s="14"/>
      <c r="I394" s="14" t="s">
        <v>193</v>
      </c>
      <c r="J394" s="14" t="s">
        <v>478</v>
      </c>
      <c r="K394" s="13" t="s">
        <v>11</v>
      </c>
      <c r="L394" s="13" t="s">
        <v>12</v>
      </c>
      <c r="M394" s="23">
        <v>46497</v>
      </c>
      <c r="N394" s="24">
        <v>46653</v>
      </c>
      <c r="O394" s="14" t="s">
        <v>2310</v>
      </c>
      <c r="P394" s="14" t="s">
        <v>2311</v>
      </c>
      <c r="Q394" s="42" t="str">
        <f t="shared" si="6"/>
        <v>https://ec.europa.eu/info/funding-tenders/opportunities/portal/screen/opportunities/topic-details/HORIZON-CL6-2027-02-CLIMATE-04</v>
      </c>
    </row>
    <row r="395" spans="1:17" ht="66" customHeight="1" thickBot="1" x14ac:dyDescent="0.35">
      <c r="A395" s="37" t="s">
        <v>2773</v>
      </c>
      <c r="B395" s="37" t="s">
        <v>2776</v>
      </c>
      <c r="C395" s="37" t="s">
        <v>2777</v>
      </c>
      <c r="D395" s="4" t="s">
        <v>1492</v>
      </c>
      <c r="E395" s="21" t="s">
        <v>479</v>
      </c>
      <c r="F395" s="4" t="s">
        <v>480</v>
      </c>
      <c r="G395" s="4" t="s">
        <v>2750</v>
      </c>
      <c r="H395" s="14"/>
      <c r="I395" s="14" t="s">
        <v>440</v>
      </c>
      <c r="J395" s="14" t="s">
        <v>481</v>
      </c>
      <c r="K395" s="13" t="s">
        <v>50</v>
      </c>
      <c r="L395" s="13" t="s">
        <v>35</v>
      </c>
      <c r="M395" s="23">
        <v>46422</v>
      </c>
      <c r="N395" s="24" t="s">
        <v>343</v>
      </c>
      <c r="O395" s="14" t="s">
        <v>2312</v>
      </c>
      <c r="P395" s="14" t="s">
        <v>2313</v>
      </c>
      <c r="Q395" s="42" t="str">
        <f t="shared" si="6"/>
        <v>https://ec.europa.eu/info/funding-tenders/opportunities/portal/screen/opportunities/topic-details/HORIZON-CL6-2027-02-CLIMATE-01-two-stage</v>
      </c>
    </row>
    <row r="396" spans="1:17" ht="66" customHeight="1" thickBot="1" x14ac:dyDescent="0.35">
      <c r="A396" s="37" t="s">
        <v>2773</v>
      </c>
      <c r="B396" s="37" t="s">
        <v>2776</v>
      </c>
      <c r="C396" s="37" t="s">
        <v>2777</v>
      </c>
      <c r="D396" s="4" t="s">
        <v>1492</v>
      </c>
      <c r="E396" s="21" t="s">
        <v>482</v>
      </c>
      <c r="F396" s="4" t="s">
        <v>483</v>
      </c>
      <c r="G396" s="4" t="s">
        <v>2751</v>
      </c>
      <c r="H396" s="14" t="s">
        <v>2459</v>
      </c>
      <c r="I396" s="14" t="s">
        <v>378</v>
      </c>
      <c r="J396" s="14" t="s">
        <v>484</v>
      </c>
      <c r="K396" s="13" t="s">
        <v>11</v>
      </c>
      <c r="L396" s="13" t="s">
        <v>12</v>
      </c>
      <c r="M396" s="23">
        <v>46036</v>
      </c>
      <c r="N396" s="24">
        <v>46126</v>
      </c>
      <c r="O396" s="14" t="s">
        <v>2314</v>
      </c>
      <c r="P396" s="14" t="s">
        <v>2315</v>
      </c>
      <c r="Q396" s="42" t="str">
        <f t="shared" si="6"/>
        <v>https://ec.europa.eu/info/funding-tenders/opportunities/portal/screen/opportunities/topic-details/HORIZON-CL6-2026-02-COMMUNITIES-01</v>
      </c>
    </row>
    <row r="397" spans="1:17" ht="66" customHeight="1" thickBot="1" x14ac:dyDescent="0.35">
      <c r="A397" s="37" t="s">
        <v>2773</v>
      </c>
      <c r="B397" s="37" t="s">
        <v>2776</v>
      </c>
      <c r="C397" s="37" t="s">
        <v>2777</v>
      </c>
      <c r="D397" s="4" t="s">
        <v>1492</v>
      </c>
      <c r="E397" s="21" t="s">
        <v>485</v>
      </c>
      <c r="F397" s="4" t="s">
        <v>486</v>
      </c>
      <c r="G397" s="4" t="s">
        <v>2752</v>
      </c>
      <c r="H397" s="14" t="s">
        <v>2460</v>
      </c>
      <c r="I397" s="14" t="s">
        <v>228</v>
      </c>
      <c r="J397" s="14" t="s">
        <v>487</v>
      </c>
      <c r="K397" s="13" t="s">
        <v>11</v>
      </c>
      <c r="L397" s="13" t="s">
        <v>12</v>
      </c>
      <c r="M397" s="23">
        <v>46497</v>
      </c>
      <c r="N397" s="24">
        <v>46653</v>
      </c>
      <c r="O397" s="14" t="s">
        <v>2316</v>
      </c>
      <c r="P397" s="14" t="s">
        <v>2317</v>
      </c>
      <c r="Q397" s="42" t="str">
        <f t="shared" si="6"/>
        <v>https://ec.europa.eu/info/funding-tenders/opportunities/portal/screen/opportunities/topic-details/HORIZON-CL6-2027-02-COMMUNITIES-01</v>
      </c>
    </row>
    <row r="398" spans="1:17" ht="66" customHeight="1" thickBot="1" x14ac:dyDescent="0.35">
      <c r="A398" s="37" t="s">
        <v>2773</v>
      </c>
      <c r="B398" s="37" t="s">
        <v>2776</v>
      </c>
      <c r="C398" s="37" t="s">
        <v>2777</v>
      </c>
      <c r="D398" s="4" t="s">
        <v>1492</v>
      </c>
      <c r="E398" s="21" t="s">
        <v>488</v>
      </c>
      <c r="F398" s="4" t="s">
        <v>489</v>
      </c>
      <c r="G398" s="4" t="s">
        <v>2753</v>
      </c>
      <c r="H398" s="14" t="s">
        <v>2461</v>
      </c>
      <c r="I398" s="14" t="s">
        <v>378</v>
      </c>
      <c r="J398" s="14" t="s">
        <v>490</v>
      </c>
      <c r="K398" s="13" t="s">
        <v>50</v>
      </c>
      <c r="L398" s="13" t="s">
        <v>12</v>
      </c>
      <c r="M398" s="23">
        <v>46497</v>
      </c>
      <c r="N398" s="24">
        <v>46653</v>
      </c>
      <c r="O398" s="14" t="s">
        <v>2318</v>
      </c>
      <c r="P398" s="14" t="s">
        <v>2319</v>
      </c>
      <c r="Q398" s="42" t="str">
        <f t="shared" si="6"/>
        <v>https://ec.europa.eu/info/funding-tenders/opportunities/portal/screen/opportunities/topic-details/HORIZON-CL6-2027-02-COMMUNITIES-02</v>
      </c>
    </row>
    <row r="399" spans="1:17" ht="66" customHeight="1" thickBot="1" x14ac:dyDescent="0.35">
      <c r="A399" s="37" t="s">
        <v>2773</v>
      </c>
      <c r="B399" s="37" t="s">
        <v>2776</v>
      </c>
      <c r="C399" s="37" t="s">
        <v>2777</v>
      </c>
      <c r="D399" s="4" t="s">
        <v>1492</v>
      </c>
      <c r="E399" s="21" t="s">
        <v>491</v>
      </c>
      <c r="F399" s="4" t="s">
        <v>492</v>
      </c>
      <c r="G399" s="4" t="s">
        <v>2754</v>
      </c>
      <c r="H399" s="14"/>
      <c r="I399" s="14" t="s">
        <v>228</v>
      </c>
      <c r="J399" s="14" t="s">
        <v>493</v>
      </c>
      <c r="K399" s="13" t="s">
        <v>26</v>
      </c>
      <c r="L399" s="13" t="s">
        <v>12</v>
      </c>
      <c r="M399" s="23">
        <v>46036</v>
      </c>
      <c r="N399" s="24">
        <v>46127</v>
      </c>
      <c r="O399" s="14" t="s">
        <v>2320</v>
      </c>
      <c r="P399" s="14" t="s">
        <v>2321</v>
      </c>
      <c r="Q399" s="42" t="str">
        <f t="shared" si="6"/>
        <v>https://ec.europa.eu/info/funding-tenders/opportunities/portal/screen/opportunities/topic-details/HORIZON-CL6-2026-03-GOVERNANCE-01</v>
      </c>
    </row>
    <row r="400" spans="1:17" ht="66" customHeight="1" thickBot="1" x14ac:dyDescent="0.35">
      <c r="A400" s="37" t="s">
        <v>2773</v>
      </c>
      <c r="B400" s="37" t="s">
        <v>2776</v>
      </c>
      <c r="C400" s="37" t="s">
        <v>2777</v>
      </c>
      <c r="D400" s="4" t="s">
        <v>1492</v>
      </c>
      <c r="E400" s="21" t="s">
        <v>494</v>
      </c>
      <c r="F400" s="4" t="s">
        <v>495</v>
      </c>
      <c r="G400" s="4" t="s">
        <v>2755</v>
      </c>
      <c r="H400" s="14" t="s">
        <v>2462</v>
      </c>
      <c r="I400" s="14" t="s">
        <v>361</v>
      </c>
      <c r="J400" s="14" t="s">
        <v>496</v>
      </c>
      <c r="K400" s="13" t="s">
        <v>11</v>
      </c>
      <c r="L400" s="13" t="s">
        <v>12</v>
      </c>
      <c r="M400" s="23">
        <v>46036</v>
      </c>
      <c r="N400" s="24">
        <v>46127</v>
      </c>
      <c r="O400" s="14" t="s">
        <v>2322</v>
      </c>
      <c r="P400" s="14" t="s">
        <v>2323</v>
      </c>
      <c r="Q400" s="42" t="str">
        <f t="shared" si="6"/>
        <v>https://ec.europa.eu/info/funding-tenders/opportunities/portal/screen/opportunities/topic-details/HORIZON-CL6-2026-03-GOVERNANCE-02</v>
      </c>
    </row>
    <row r="401" spans="1:17" ht="66" customHeight="1" thickBot="1" x14ac:dyDescent="0.35">
      <c r="A401" s="37" t="s">
        <v>2773</v>
      </c>
      <c r="B401" s="37" t="s">
        <v>2776</v>
      </c>
      <c r="C401" s="37" t="s">
        <v>2777</v>
      </c>
      <c r="D401" s="4" t="s">
        <v>1492</v>
      </c>
      <c r="E401" s="21" t="s">
        <v>497</v>
      </c>
      <c r="F401" s="4" t="s">
        <v>498</v>
      </c>
      <c r="G401" s="4" t="s">
        <v>2756</v>
      </c>
      <c r="H401" s="14"/>
      <c r="I401" s="14" t="s">
        <v>243</v>
      </c>
      <c r="J401" s="14" t="s">
        <v>499</v>
      </c>
      <c r="K401" s="13" t="s">
        <v>16</v>
      </c>
      <c r="L401" s="13" t="s">
        <v>12</v>
      </c>
      <c r="M401" s="23">
        <v>46036</v>
      </c>
      <c r="N401" s="24">
        <v>46127</v>
      </c>
      <c r="O401" s="14" t="s">
        <v>2324</v>
      </c>
      <c r="P401" s="14" t="s">
        <v>2325</v>
      </c>
      <c r="Q401" s="42" t="str">
        <f t="shared" si="6"/>
        <v>https://ec.europa.eu/info/funding-tenders/opportunities/portal/screen/opportunities/topic-details/HORIZON-CL6-2026-03-GOVERNANCE-03</v>
      </c>
    </row>
    <row r="402" spans="1:17" ht="66" customHeight="1" thickBot="1" x14ac:dyDescent="0.35">
      <c r="A402" s="37" t="s">
        <v>2773</v>
      </c>
      <c r="B402" s="37" t="s">
        <v>2776</v>
      </c>
      <c r="C402" s="37" t="s">
        <v>2777</v>
      </c>
      <c r="D402" s="4" t="s">
        <v>1492</v>
      </c>
      <c r="E402" s="21" t="s">
        <v>500</v>
      </c>
      <c r="F402" s="4" t="s">
        <v>501</v>
      </c>
      <c r="G402" s="4" t="s">
        <v>2757</v>
      </c>
      <c r="H402" s="14"/>
      <c r="I402" s="14" t="s">
        <v>243</v>
      </c>
      <c r="J402" s="14" t="s">
        <v>502</v>
      </c>
      <c r="K402" s="13" t="s">
        <v>16</v>
      </c>
      <c r="L402" s="13" t="s">
        <v>12</v>
      </c>
      <c r="M402" s="23">
        <v>46036</v>
      </c>
      <c r="N402" s="24">
        <v>46127</v>
      </c>
      <c r="O402" s="14" t="s">
        <v>2326</v>
      </c>
      <c r="P402" s="14" t="s">
        <v>2327</v>
      </c>
      <c r="Q402" s="42" t="str">
        <f t="shared" si="6"/>
        <v>https://ec.europa.eu/info/funding-tenders/opportunities/portal/screen/opportunities/topic-details/HORIZON-CL6-2026-03-GOVERNANCE-04</v>
      </c>
    </row>
    <row r="403" spans="1:17" ht="66" customHeight="1" thickBot="1" x14ac:dyDescent="0.35">
      <c r="A403" s="37" t="s">
        <v>2773</v>
      </c>
      <c r="B403" s="37" t="s">
        <v>2776</v>
      </c>
      <c r="C403" s="37" t="s">
        <v>2777</v>
      </c>
      <c r="D403" s="4" t="s">
        <v>1492</v>
      </c>
      <c r="E403" s="21" t="s">
        <v>503</v>
      </c>
      <c r="F403" s="4" t="s">
        <v>504</v>
      </c>
      <c r="G403" s="4" t="s">
        <v>2758</v>
      </c>
      <c r="H403" s="14"/>
      <c r="I403" s="14" t="s">
        <v>468</v>
      </c>
      <c r="J403" s="14" t="s">
        <v>505</v>
      </c>
      <c r="K403" s="13" t="s">
        <v>11</v>
      </c>
      <c r="L403" s="13" t="s">
        <v>12</v>
      </c>
      <c r="M403" s="23">
        <v>46036</v>
      </c>
      <c r="N403" s="24">
        <v>46127</v>
      </c>
      <c r="O403" s="14" t="s">
        <v>2328</v>
      </c>
      <c r="P403" s="14" t="s">
        <v>2329</v>
      </c>
      <c r="Q403" s="42" t="str">
        <f t="shared" si="6"/>
        <v>https://ec.europa.eu/info/funding-tenders/opportunities/portal/screen/opportunities/topic-details/HORIZON-CL6-2026-03-GOVERNANCE-05</v>
      </c>
    </row>
    <row r="404" spans="1:17" ht="66" customHeight="1" thickBot="1" x14ac:dyDescent="0.35">
      <c r="A404" s="37" t="s">
        <v>2773</v>
      </c>
      <c r="B404" s="37" t="s">
        <v>2776</v>
      </c>
      <c r="C404" s="37" t="s">
        <v>2777</v>
      </c>
      <c r="D404" s="4" t="s">
        <v>1492</v>
      </c>
      <c r="E404" s="21" t="s">
        <v>506</v>
      </c>
      <c r="F404" s="4" t="s">
        <v>507</v>
      </c>
      <c r="G404" s="4" t="s">
        <v>2759</v>
      </c>
      <c r="H404" s="14"/>
      <c r="I404" s="14" t="s">
        <v>508</v>
      </c>
      <c r="J404" s="14" t="s">
        <v>509</v>
      </c>
      <c r="K404" s="13" t="s">
        <v>16</v>
      </c>
      <c r="L404" s="13" t="s">
        <v>12</v>
      </c>
      <c r="M404" s="23">
        <v>46036</v>
      </c>
      <c r="N404" s="24">
        <v>46127</v>
      </c>
      <c r="O404" s="14" t="s">
        <v>2330</v>
      </c>
      <c r="P404" s="14" t="s">
        <v>2331</v>
      </c>
      <c r="Q404" s="42" t="str">
        <f t="shared" si="6"/>
        <v>https://ec.europa.eu/info/funding-tenders/opportunities/portal/screen/opportunities/topic-details/HORIZON-CL6-2026-03-GOVERNANCE-06</v>
      </c>
    </row>
    <row r="405" spans="1:17" ht="66" customHeight="1" thickBot="1" x14ac:dyDescent="0.35">
      <c r="A405" s="37" t="s">
        <v>2773</v>
      </c>
      <c r="B405" s="37" t="s">
        <v>2776</v>
      </c>
      <c r="C405" s="37" t="s">
        <v>2777</v>
      </c>
      <c r="D405" s="4" t="s">
        <v>1492</v>
      </c>
      <c r="E405" s="21" t="s">
        <v>510</v>
      </c>
      <c r="F405" s="4" t="s">
        <v>511</v>
      </c>
      <c r="G405" s="4" t="s">
        <v>2760</v>
      </c>
      <c r="H405" s="14"/>
      <c r="I405" s="14" t="s">
        <v>201</v>
      </c>
      <c r="J405" s="14" t="s">
        <v>512</v>
      </c>
      <c r="K405" s="13" t="s">
        <v>16</v>
      </c>
      <c r="L405" s="13" t="s">
        <v>12</v>
      </c>
      <c r="M405" s="23">
        <v>46036</v>
      </c>
      <c r="N405" s="24">
        <v>46127</v>
      </c>
      <c r="O405" s="14" t="s">
        <v>2332</v>
      </c>
      <c r="P405" s="14" t="s">
        <v>2333</v>
      </c>
      <c r="Q405" s="42" t="str">
        <f t="shared" si="6"/>
        <v>https://ec.europa.eu/info/funding-tenders/opportunities/portal/screen/opportunities/topic-details/HORIZON-CL6-2026-03-GOVERNANCE-07</v>
      </c>
    </row>
    <row r="406" spans="1:17" ht="66" customHeight="1" thickBot="1" x14ac:dyDescent="0.35">
      <c r="A406" s="37" t="s">
        <v>2773</v>
      </c>
      <c r="B406" s="37" t="s">
        <v>2776</v>
      </c>
      <c r="C406" s="37" t="s">
        <v>2777</v>
      </c>
      <c r="D406" s="4" t="s">
        <v>1492</v>
      </c>
      <c r="E406" s="21" t="s">
        <v>513</v>
      </c>
      <c r="F406" s="4" t="s">
        <v>514</v>
      </c>
      <c r="G406" s="4" t="s">
        <v>2761</v>
      </c>
      <c r="H406" s="14" t="s">
        <v>2360</v>
      </c>
      <c r="I406" s="14" t="s">
        <v>515</v>
      </c>
      <c r="J406" s="14" t="s">
        <v>516</v>
      </c>
      <c r="K406" s="13" t="s">
        <v>50</v>
      </c>
      <c r="L406" s="13" t="s">
        <v>12</v>
      </c>
      <c r="M406" s="23">
        <v>46036</v>
      </c>
      <c r="N406" s="24">
        <v>46127</v>
      </c>
      <c r="O406" s="14" t="s">
        <v>2334</v>
      </c>
      <c r="P406" s="14" t="s">
        <v>2335</v>
      </c>
      <c r="Q406" s="42" t="str">
        <f t="shared" si="6"/>
        <v>https://ec.europa.eu/info/funding-tenders/opportunities/portal/screen/opportunities/topic-details/HORIZON-CL6-2026-03-GOVERNANCE-08</v>
      </c>
    </row>
    <row r="407" spans="1:17" ht="66" customHeight="1" thickBot="1" x14ac:dyDescent="0.35">
      <c r="A407" s="37" t="s">
        <v>2773</v>
      </c>
      <c r="B407" s="37" t="s">
        <v>2776</v>
      </c>
      <c r="C407" s="37" t="s">
        <v>2777</v>
      </c>
      <c r="D407" s="4" t="s">
        <v>1492</v>
      </c>
      <c r="E407" s="21" t="s">
        <v>517</v>
      </c>
      <c r="F407" s="4" t="s">
        <v>518</v>
      </c>
      <c r="G407" s="4" t="s">
        <v>2762</v>
      </c>
      <c r="H407" s="14"/>
      <c r="I407" s="14" t="s">
        <v>361</v>
      </c>
      <c r="J407" s="14" t="s">
        <v>519</v>
      </c>
      <c r="K407" s="13" t="s">
        <v>16</v>
      </c>
      <c r="L407" s="13" t="s">
        <v>12</v>
      </c>
      <c r="M407" s="23">
        <v>46036</v>
      </c>
      <c r="N407" s="24">
        <v>46127</v>
      </c>
      <c r="O407" s="14" t="s">
        <v>2336</v>
      </c>
      <c r="P407" s="14" t="s">
        <v>2337</v>
      </c>
      <c r="Q407" s="42" t="str">
        <f t="shared" si="6"/>
        <v>https://ec.europa.eu/info/funding-tenders/opportunities/portal/screen/opportunities/topic-details/HORIZON-CL6-2026-03-GOVERNANCE-09</v>
      </c>
    </row>
    <row r="408" spans="1:17" ht="66" customHeight="1" thickBot="1" x14ac:dyDescent="0.35">
      <c r="A408" s="37" t="s">
        <v>2773</v>
      </c>
      <c r="B408" s="37" t="s">
        <v>2776</v>
      </c>
      <c r="C408" s="37" t="s">
        <v>2777</v>
      </c>
      <c r="D408" s="4" t="s">
        <v>1492</v>
      </c>
      <c r="E408" s="21" t="s">
        <v>520</v>
      </c>
      <c r="F408" s="4" t="s">
        <v>521</v>
      </c>
      <c r="G408" s="4" t="s">
        <v>2763</v>
      </c>
      <c r="H408" s="14" t="s">
        <v>2457</v>
      </c>
      <c r="I408" s="14" t="s">
        <v>407</v>
      </c>
      <c r="J408" s="14" t="s">
        <v>522</v>
      </c>
      <c r="K408" s="13" t="s">
        <v>11</v>
      </c>
      <c r="L408" s="13" t="s">
        <v>12</v>
      </c>
      <c r="M408" s="23">
        <v>46036</v>
      </c>
      <c r="N408" s="24">
        <v>46127</v>
      </c>
      <c r="O408" s="14" t="s">
        <v>2338</v>
      </c>
      <c r="P408" s="14" t="s">
        <v>2339</v>
      </c>
      <c r="Q408" s="42" t="str">
        <f t="shared" si="6"/>
        <v>https://ec.europa.eu/info/funding-tenders/opportunities/portal/screen/opportunities/topic-details/HORIZON-CL6-2026-03-GOVERNANCE-10</v>
      </c>
    </row>
    <row r="409" spans="1:17" ht="66" customHeight="1" thickBot="1" x14ac:dyDescent="0.35">
      <c r="A409" s="37" t="s">
        <v>2773</v>
      </c>
      <c r="B409" s="37" t="s">
        <v>2776</v>
      </c>
      <c r="C409" s="37" t="s">
        <v>2777</v>
      </c>
      <c r="D409" s="4" t="s">
        <v>1492</v>
      </c>
      <c r="E409" s="21" t="s">
        <v>523</v>
      </c>
      <c r="F409" s="4" t="s">
        <v>524</v>
      </c>
      <c r="G409" s="4" t="s">
        <v>2764</v>
      </c>
      <c r="H409" s="14"/>
      <c r="I409" s="14" t="s">
        <v>224</v>
      </c>
      <c r="J409" s="14" t="s">
        <v>525</v>
      </c>
      <c r="K409" s="13" t="s">
        <v>11</v>
      </c>
      <c r="L409" s="13" t="s">
        <v>35</v>
      </c>
      <c r="M409" s="23">
        <v>46065</v>
      </c>
      <c r="N409" s="24" t="s">
        <v>526</v>
      </c>
      <c r="O409" s="14" t="s">
        <v>2340</v>
      </c>
      <c r="P409" s="14" t="s">
        <v>2341</v>
      </c>
      <c r="Q409" s="42" t="str">
        <f t="shared" si="6"/>
        <v>https://ec.europa.eu/info/funding-tenders/opportunities/portal/screen/opportunities/topic-details/HORIZON-CL6-2026-03-GOVERNANCE-01-two-stage</v>
      </c>
    </row>
    <row r="410" spans="1:17" ht="66" customHeight="1" thickBot="1" x14ac:dyDescent="0.35">
      <c r="A410" s="37" t="s">
        <v>2773</v>
      </c>
      <c r="B410" s="37" t="s">
        <v>2776</v>
      </c>
      <c r="C410" s="37" t="s">
        <v>2777</v>
      </c>
      <c r="D410" s="4" t="s">
        <v>1492</v>
      </c>
      <c r="E410" s="21" t="s">
        <v>527</v>
      </c>
      <c r="F410" s="4" t="s">
        <v>528</v>
      </c>
      <c r="G410" s="4" t="s">
        <v>2765</v>
      </c>
      <c r="H410" s="14"/>
      <c r="I410" s="14" t="s">
        <v>224</v>
      </c>
      <c r="J410" s="14" t="s">
        <v>529</v>
      </c>
      <c r="K410" s="13" t="s">
        <v>26</v>
      </c>
      <c r="L410" s="13" t="s">
        <v>12</v>
      </c>
      <c r="M410" s="23">
        <v>46259</v>
      </c>
      <c r="N410" s="24">
        <v>46352</v>
      </c>
      <c r="O410" s="14" t="s">
        <v>2342</v>
      </c>
      <c r="P410" s="14" t="s">
        <v>2343</v>
      </c>
      <c r="Q410" s="42" t="str">
        <f t="shared" si="6"/>
        <v>https://ec.europa.eu/info/funding-tenders/opportunities/portal/screen/opportunities/topic-details/HORIZON-CL6-2026-04-GOVERNANCE-01</v>
      </c>
    </row>
    <row r="411" spans="1:17" ht="66" customHeight="1" thickBot="1" x14ac:dyDescent="0.35">
      <c r="A411" s="37" t="s">
        <v>2773</v>
      </c>
      <c r="B411" s="37" t="s">
        <v>2776</v>
      </c>
      <c r="C411" s="37" t="s">
        <v>2777</v>
      </c>
      <c r="D411" s="4" t="s">
        <v>1492</v>
      </c>
      <c r="E411" s="21" t="s">
        <v>530</v>
      </c>
      <c r="F411" s="4" t="s">
        <v>531</v>
      </c>
      <c r="G411" s="4" t="s">
        <v>2766</v>
      </c>
      <c r="H411" s="14" t="s">
        <v>2463</v>
      </c>
      <c r="I411" s="14" t="s">
        <v>378</v>
      </c>
      <c r="J411" s="14" t="s">
        <v>532</v>
      </c>
      <c r="K411" s="13" t="s">
        <v>11</v>
      </c>
      <c r="L411" s="13" t="s">
        <v>12</v>
      </c>
      <c r="M411" s="24">
        <v>46422</v>
      </c>
      <c r="N411" s="24">
        <v>46518</v>
      </c>
      <c r="O411" s="14" t="s">
        <v>2344</v>
      </c>
      <c r="P411" s="14" t="s">
        <v>2345</v>
      </c>
      <c r="Q411" s="42" t="str">
        <f t="shared" si="6"/>
        <v>https://ec.europa.eu/info/funding-tenders/opportunities/portal/screen/opportunities/topic-details/HORIZON-CL6-2027-03-GOVERNANCE-01</v>
      </c>
    </row>
    <row r="412" spans="1:17" ht="66" customHeight="1" thickBot="1" x14ac:dyDescent="0.35">
      <c r="A412" s="37" t="s">
        <v>2773</v>
      </c>
      <c r="B412" s="37" t="s">
        <v>2776</v>
      </c>
      <c r="C412" s="37" t="s">
        <v>2777</v>
      </c>
      <c r="D412" s="4" t="s">
        <v>1492</v>
      </c>
      <c r="E412" s="21" t="s">
        <v>533</v>
      </c>
      <c r="F412" s="4" t="s">
        <v>534</v>
      </c>
      <c r="G412" s="4" t="s">
        <v>2767</v>
      </c>
      <c r="H412" s="14" t="s">
        <v>2464</v>
      </c>
      <c r="I412" s="14" t="s">
        <v>239</v>
      </c>
      <c r="J412" s="14" t="s">
        <v>535</v>
      </c>
      <c r="K412" s="13" t="s">
        <v>11</v>
      </c>
      <c r="L412" s="13" t="s">
        <v>12</v>
      </c>
      <c r="M412" s="24">
        <v>46422</v>
      </c>
      <c r="N412" s="24">
        <v>46518</v>
      </c>
      <c r="O412" s="14" t="s">
        <v>2346</v>
      </c>
      <c r="P412" s="14" t="s">
        <v>2347</v>
      </c>
      <c r="Q412" s="42" t="str">
        <f t="shared" si="6"/>
        <v>https://ec.europa.eu/info/funding-tenders/opportunities/portal/screen/opportunities/topic-details/HORIZON-CL6-2027-03-GOVERNANCE-02</v>
      </c>
    </row>
    <row r="413" spans="1:17" ht="66" customHeight="1" thickBot="1" x14ac:dyDescent="0.35">
      <c r="A413" s="37" t="s">
        <v>2773</v>
      </c>
      <c r="B413" s="37" t="s">
        <v>2776</v>
      </c>
      <c r="C413" s="37" t="s">
        <v>2777</v>
      </c>
      <c r="D413" s="4" t="s">
        <v>1492</v>
      </c>
      <c r="E413" s="21" t="s">
        <v>536</v>
      </c>
      <c r="F413" s="4" t="s">
        <v>537</v>
      </c>
      <c r="G413" s="4" t="s">
        <v>2768</v>
      </c>
      <c r="H413" s="14" t="s">
        <v>2414</v>
      </c>
      <c r="I413" s="14" t="s">
        <v>243</v>
      </c>
      <c r="J413" s="14" t="s">
        <v>538</v>
      </c>
      <c r="K413" s="13" t="s">
        <v>16</v>
      </c>
      <c r="L413" s="13" t="s">
        <v>12</v>
      </c>
      <c r="M413" s="24">
        <v>46422</v>
      </c>
      <c r="N413" s="24">
        <v>46518</v>
      </c>
      <c r="O413" s="14" t="s">
        <v>2348</v>
      </c>
      <c r="P413" s="14" t="s">
        <v>2349</v>
      </c>
      <c r="Q413" s="42" t="str">
        <f t="shared" si="6"/>
        <v>https://ec.europa.eu/info/funding-tenders/opportunities/portal/screen/opportunities/topic-details/HORIZON-CL6-2027-03-GOVERNANCE-03</v>
      </c>
    </row>
    <row r="414" spans="1:17" ht="66" customHeight="1" thickBot="1" x14ac:dyDescent="0.35">
      <c r="A414" s="37" t="s">
        <v>2773</v>
      </c>
      <c r="B414" s="37" t="s">
        <v>2776</v>
      </c>
      <c r="C414" s="37" t="s">
        <v>2777</v>
      </c>
      <c r="D414" s="4" t="s">
        <v>1492</v>
      </c>
      <c r="E414" s="21" t="s">
        <v>539</v>
      </c>
      <c r="F414" s="4" t="s">
        <v>540</v>
      </c>
      <c r="G414" s="4" t="s">
        <v>2769</v>
      </c>
      <c r="H414" s="14" t="s">
        <v>2465</v>
      </c>
      <c r="I414" s="14" t="s">
        <v>508</v>
      </c>
      <c r="J414" s="14" t="s">
        <v>541</v>
      </c>
      <c r="K414" s="13" t="s">
        <v>50</v>
      </c>
      <c r="L414" s="13" t="s">
        <v>12</v>
      </c>
      <c r="M414" s="24">
        <v>46422</v>
      </c>
      <c r="N414" s="24">
        <v>46518</v>
      </c>
      <c r="O414" s="14" t="s">
        <v>2350</v>
      </c>
      <c r="P414" s="14" t="s">
        <v>2351</v>
      </c>
      <c r="Q414" s="42" t="str">
        <f t="shared" si="6"/>
        <v>https://ec.europa.eu/info/funding-tenders/opportunities/portal/screen/opportunities/topic-details/HORIZON-CL6-2027-03-GOVERNANCE-04</v>
      </c>
    </row>
    <row r="415" spans="1:17" ht="66" customHeight="1" thickBot="1" x14ac:dyDescent="0.35">
      <c r="A415" s="37" t="s">
        <v>2773</v>
      </c>
      <c r="B415" s="37" t="s">
        <v>2776</v>
      </c>
      <c r="C415" s="37" t="s">
        <v>2777</v>
      </c>
      <c r="D415" s="4" t="s">
        <v>1492</v>
      </c>
      <c r="E415" s="21" t="s">
        <v>542</v>
      </c>
      <c r="F415" s="4" t="s">
        <v>518</v>
      </c>
      <c r="G415" s="4" t="s">
        <v>2762</v>
      </c>
      <c r="H415" s="14"/>
      <c r="I415" s="14" t="s">
        <v>361</v>
      </c>
      <c r="J415" s="14" t="s">
        <v>543</v>
      </c>
      <c r="K415" s="13" t="s">
        <v>16</v>
      </c>
      <c r="L415" s="13" t="s">
        <v>12</v>
      </c>
      <c r="M415" s="24">
        <v>46422</v>
      </c>
      <c r="N415" s="24">
        <v>46518</v>
      </c>
      <c r="O415" s="14" t="s">
        <v>2352</v>
      </c>
      <c r="P415" s="14" t="s">
        <v>2353</v>
      </c>
      <c r="Q415" s="42" t="str">
        <f t="shared" si="6"/>
        <v>https://ec.europa.eu/info/funding-tenders/opportunities/portal/screen/opportunities/topic-details/HORIZON-CL6-2027-03-GOVERNANCE-05</v>
      </c>
    </row>
    <row r="416" spans="1:17" ht="66" customHeight="1" thickBot="1" x14ac:dyDescent="0.35">
      <c r="A416" s="37" t="s">
        <v>2773</v>
      </c>
      <c r="B416" s="37" t="s">
        <v>2776</v>
      </c>
      <c r="C416" s="37" t="s">
        <v>2777</v>
      </c>
      <c r="D416" s="4" t="s">
        <v>1492</v>
      </c>
      <c r="E416" s="21" t="s">
        <v>544</v>
      </c>
      <c r="F416" s="4" t="s">
        <v>545</v>
      </c>
      <c r="G416" s="4" t="s">
        <v>2770</v>
      </c>
      <c r="H416" s="14"/>
      <c r="I416" s="14" t="s">
        <v>361</v>
      </c>
      <c r="J416" s="14" t="s">
        <v>546</v>
      </c>
      <c r="K416" s="13" t="s">
        <v>16</v>
      </c>
      <c r="L416" s="13" t="s">
        <v>12</v>
      </c>
      <c r="M416" s="23">
        <v>46422</v>
      </c>
      <c r="N416" s="24">
        <v>46518</v>
      </c>
      <c r="O416" s="14" t="s">
        <v>2354</v>
      </c>
      <c r="P416" s="14" t="s">
        <v>2355</v>
      </c>
      <c r="Q416" s="42" t="str">
        <f t="shared" si="6"/>
        <v>https://ec.europa.eu/info/funding-tenders/opportunities/portal/screen/opportunities/topic-details/HORIZON-CL6-2027-03-GOVERNANCE-06</v>
      </c>
    </row>
    <row r="417" spans="1:17" ht="66" customHeight="1" thickBot="1" x14ac:dyDescent="0.35">
      <c r="A417" s="37" t="s">
        <v>2773</v>
      </c>
      <c r="B417" s="37" t="s">
        <v>2776</v>
      </c>
      <c r="C417" s="37" t="s">
        <v>2777</v>
      </c>
      <c r="D417" s="25" t="s">
        <v>1492</v>
      </c>
      <c r="E417" s="22" t="s">
        <v>547</v>
      </c>
      <c r="F417" s="25" t="s">
        <v>548</v>
      </c>
      <c r="G417" s="25" t="s">
        <v>2771</v>
      </c>
      <c r="H417" s="10"/>
      <c r="I417" s="10" t="s">
        <v>243</v>
      </c>
      <c r="J417" s="10" t="s">
        <v>549</v>
      </c>
      <c r="K417" s="9" t="s">
        <v>16</v>
      </c>
      <c r="L417" s="9" t="s">
        <v>12</v>
      </c>
      <c r="M417" s="26">
        <v>46422</v>
      </c>
      <c r="N417" s="27">
        <v>46518</v>
      </c>
      <c r="O417" s="10" t="s">
        <v>2356</v>
      </c>
      <c r="P417" s="10" t="s">
        <v>2357</v>
      </c>
      <c r="Q417" s="42" t="str">
        <f t="shared" si="6"/>
        <v>https://ec.europa.eu/info/funding-tenders/opportunities/portal/screen/opportunities/topic-details/HORIZON-CL6-2027-03-GOVERNANCE-07</v>
      </c>
    </row>
    <row r="418" spans="1:17" ht="66" customHeight="1" thickBot="1" x14ac:dyDescent="0.35">
      <c r="A418" s="37" t="s">
        <v>2778</v>
      </c>
      <c r="B418" s="37" t="s">
        <v>2817</v>
      </c>
      <c r="C418" s="37" t="s">
        <v>2806</v>
      </c>
      <c r="D418" s="25" t="s">
        <v>2793</v>
      </c>
      <c r="E418" s="22" t="s">
        <v>2818</v>
      </c>
      <c r="F418" s="25" t="s">
        <v>2794</v>
      </c>
      <c r="G418" s="25" t="s">
        <v>2819</v>
      </c>
      <c r="H418" s="10"/>
      <c r="I418" s="10"/>
      <c r="J418" s="10" t="s">
        <v>2820</v>
      </c>
      <c r="K418" s="9" t="s">
        <v>2821</v>
      </c>
      <c r="L418" s="9" t="s">
        <v>2792</v>
      </c>
      <c r="M418" s="26">
        <v>46007</v>
      </c>
      <c r="N418" s="27">
        <v>46128</v>
      </c>
      <c r="O418" s="10" t="s">
        <v>2822</v>
      </c>
      <c r="P418" s="10" t="s">
        <v>2823</v>
      </c>
      <c r="Q418" s="42" t="s">
        <v>2824</v>
      </c>
    </row>
    <row r="419" spans="1:17" ht="66" customHeight="1" thickBot="1" x14ac:dyDescent="0.35">
      <c r="A419" s="37" t="s">
        <v>2790</v>
      </c>
      <c r="B419" s="37" t="s">
        <v>2825</v>
      </c>
      <c r="C419" s="37"/>
      <c r="D419" s="25" t="s">
        <v>1487</v>
      </c>
      <c r="E419" s="22"/>
      <c r="F419" s="25" t="s">
        <v>2791</v>
      </c>
      <c r="G419" s="25" t="s">
        <v>2826</v>
      </c>
      <c r="H419" s="10"/>
      <c r="I419" s="10" t="s">
        <v>2827</v>
      </c>
      <c r="J419" s="10" t="s">
        <v>2828</v>
      </c>
      <c r="K419" s="9" t="s">
        <v>2829</v>
      </c>
      <c r="L419" s="9" t="s">
        <v>2792</v>
      </c>
      <c r="M419" s="26">
        <v>45965</v>
      </c>
      <c r="N419" s="27">
        <v>46097</v>
      </c>
      <c r="O419" s="10" t="s">
        <v>2830</v>
      </c>
      <c r="P419" s="10" t="s">
        <v>2831</v>
      </c>
      <c r="Q419" s="42" t="s">
        <v>2795</v>
      </c>
    </row>
    <row r="420" spans="1:17" ht="66" customHeight="1" thickBot="1" x14ac:dyDescent="0.35">
      <c r="A420" s="37" t="s">
        <v>2832</v>
      </c>
      <c r="B420" s="37" t="s">
        <v>2825</v>
      </c>
      <c r="C420" s="37"/>
      <c r="D420" s="25" t="s">
        <v>2833</v>
      </c>
      <c r="E420" s="22" t="s">
        <v>2785</v>
      </c>
      <c r="F420" s="25" t="s">
        <v>2786</v>
      </c>
      <c r="G420" s="25" t="s">
        <v>2834</v>
      </c>
      <c r="H420" s="10"/>
      <c r="I420" s="10" t="s">
        <v>650</v>
      </c>
      <c r="J420" s="10" t="s">
        <v>2835</v>
      </c>
      <c r="K420" s="9" t="s">
        <v>2829</v>
      </c>
      <c r="L420" s="9" t="s">
        <v>2792</v>
      </c>
      <c r="M420" s="26">
        <v>46023</v>
      </c>
      <c r="N420" s="27">
        <v>46094</v>
      </c>
      <c r="O420" s="10" t="s">
        <v>2836</v>
      </c>
      <c r="P420" s="10" t="s">
        <v>2837</v>
      </c>
      <c r="Q420" s="42" t="s">
        <v>2796</v>
      </c>
    </row>
    <row r="421" spans="1:17" ht="66" customHeight="1" thickBot="1" x14ac:dyDescent="0.35">
      <c r="A421" s="37" t="s">
        <v>2838</v>
      </c>
      <c r="B421" s="37" t="s">
        <v>2825</v>
      </c>
      <c r="C421" s="37"/>
      <c r="D421" s="25" t="s">
        <v>1487</v>
      </c>
      <c r="E421" s="22"/>
      <c r="F421" s="25" t="s">
        <v>2840</v>
      </c>
      <c r="G421" s="25" t="s">
        <v>2841</v>
      </c>
      <c r="H421" s="10"/>
      <c r="I421" s="10" t="s">
        <v>515</v>
      </c>
      <c r="J421" s="10" t="s">
        <v>2842</v>
      </c>
      <c r="K421" s="9" t="s">
        <v>2829</v>
      </c>
      <c r="L421" s="9" t="s">
        <v>2792</v>
      </c>
      <c r="M421" s="26">
        <v>46037</v>
      </c>
      <c r="N421" s="27">
        <v>46113</v>
      </c>
      <c r="O421" s="10" t="s">
        <v>2843</v>
      </c>
      <c r="P421" s="10" t="s">
        <v>2844</v>
      </c>
      <c r="Q421" s="42" t="s">
        <v>2797</v>
      </c>
    </row>
    <row r="422" spans="1:17" ht="66" customHeight="1" thickBot="1" x14ac:dyDescent="0.35">
      <c r="A422" s="37" t="s">
        <v>2838</v>
      </c>
      <c r="B422" s="37" t="s">
        <v>2825</v>
      </c>
      <c r="C422" s="37"/>
      <c r="D422" s="25" t="s">
        <v>1487</v>
      </c>
      <c r="E422" s="22"/>
      <c r="F422" s="25" t="s">
        <v>2845</v>
      </c>
      <c r="G422" s="25" t="s">
        <v>2846</v>
      </c>
      <c r="H422" s="10"/>
      <c r="I422" s="10" t="s">
        <v>515</v>
      </c>
      <c r="J422" s="10" t="s">
        <v>2847</v>
      </c>
      <c r="K422" s="9" t="s">
        <v>2829</v>
      </c>
      <c r="L422" s="9" t="s">
        <v>2792</v>
      </c>
      <c r="M422" s="26">
        <v>46037</v>
      </c>
      <c r="N422" s="27">
        <v>46113</v>
      </c>
      <c r="O422" s="10" t="s">
        <v>2848</v>
      </c>
      <c r="P422" s="10" t="s">
        <v>2849</v>
      </c>
      <c r="Q422" s="42" t="s">
        <v>2797</v>
      </c>
    </row>
    <row r="423" spans="1:17" ht="66" customHeight="1" thickBot="1" x14ac:dyDescent="0.35">
      <c r="A423" s="37" t="s">
        <v>2783</v>
      </c>
      <c r="B423" s="37" t="s">
        <v>2825</v>
      </c>
      <c r="C423" s="37"/>
      <c r="D423" s="25" t="s">
        <v>1487</v>
      </c>
      <c r="E423" s="22"/>
      <c r="F423" s="25" t="s">
        <v>2850</v>
      </c>
      <c r="G423" s="25" t="s">
        <v>2851</v>
      </c>
      <c r="H423" s="10"/>
      <c r="I423" s="10" t="s">
        <v>2852</v>
      </c>
      <c r="J423" s="10" t="s">
        <v>2853</v>
      </c>
      <c r="K423" s="9" t="s">
        <v>2829</v>
      </c>
      <c r="L423" s="9" t="s">
        <v>2792</v>
      </c>
      <c r="M423" s="26">
        <v>46084</v>
      </c>
      <c r="N423" s="27">
        <v>46114</v>
      </c>
      <c r="O423" s="10" t="s">
        <v>2854</v>
      </c>
      <c r="P423" s="10" t="s">
        <v>2855</v>
      </c>
      <c r="Q423" s="42" t="s">
        <v>2798</v>
      </c>
    </row>
    <row r="424" spans="1:17" ht="66" customHeight="1" thickBot="1" x14ac:dyDescent="0.35">
      <c r="A424" s="37" t="s">
        <v>2778</v>
      </c>
      <c r="B424" s="37" t="s">
        <v>2915</v>
      </c>
      <c r="C424" s="37" t="s">
        <v>2856</v>
      </c>
      <c r="D424" s="25" t="s">
        <v>2833</v>
      </c>
      <c r="E424" s="22" t="s">
        <v>2779</v>
      </c>
      <c r="F424" s="25" t="s">
        <v>2857</v>
      </c>
      <c r="G424" s="25" t="s">
        <v>2858</v>
      </c>
      <c r="H424" s="10"/>
      <c r="I424" s="10" t="s">
        <v>650</v>
      </c>
      <c r="J424" s="10" t="s">
        <v>2859</v>
      </c>
      <c r="K424" s="9" t="s">
        <v>2860</v>
      </c>
      <c r="L424" s="9" t="s">
        <v>2792</v>
      </c>
      <c r="M424" s="26">
        <v>46051</v>
      </c>
      <c r="N424" s="27">
        <v>46140</v>
      </c>
      <c r="O424" s="10" t="s">
        <v>2861</v>
      </c>
      <c r="P424" s="10" t="s">
        <v>2862</v>
      </c>
      <c r="Q424" s="42" t="s">
        <v>2799</v>
      </c>
    </row>
    <row r="425" spans="1:17" ht="66" customHeight="1" thickBot="1" x14ac:dyDescent="0.35">
      <c r="A425" s="37" t="s">
        <v>2778</v>
      </c>
      <c r="B425" s="37" t="s">
        <v>2915</v>
      </c>
      <c r="C425" s="37" t="s">
        <v>2856</v>
      </c>
      <c r="D425" s="25" t="s">
        <v>2833</v>
      </c>
      <c r="E425" s="22" t="s">
        <v>2780</v>
      </c>
      <c r="F425" s="25" t="s">
        <v>2863</v>
      </c>
      <c r="G425" s="25" t="s">
        <v>2864</v>
      </c>
      <c r="H425" s="10"/>
      <c r="I425" s="10" t="s">
        <v>650</v>
      </c>
      <c r="J425" s="10" t="s">
        <v>2865</v>
      </c>
      <c r="K425" s="9" t="s">
        <v>2860</v>
      </c>
      <c r="L425" s="9" t="s">
        <v>2792</v>
      </c>
      <c r="M425" s="26">
        <v>46051</v>
      </c>
      <c r="N425" s="27">
        <v>46140</v>
      </c>
      <c r="O425" s="10" t="s">
        <v>2866</v>
      </c>
      <c r="P425" s="10" t="s">
        <v>2867</v>
      </c>
      <c r="Q425" s="42" t="s">
        <v>2799</v>
      </c>
    </row>
    <row r="426" spans="1:17" ht="66" customHeight="1" thickBot="1" x14ac:dyDescent="0.35">
      <c r="A426" s="37" t="s">
        <v>2778</v>
      </c>
      <c r="B426" s="37" t="s">
        <v>2915</v>
      </c>
      <c r="C426" s="37" t="s">
        <v>2856</v>
      </c>
      <c r="D426" s="25" t="s">
        <v>2833</v>
      </c>
      <c r="E426" s="22" t="s">
        <v>2781</v>
      </c>
      <c r="F426" s="25" t="s">
        <v>2868</v>
      </c>
      <c r="G426" s="25" t="s">
        <v>2869</v>
      </c>
      <c r="H426" s="10"/>
      <c r="I426" s="10" t="s">
        <v>650</v>
      </c>
      <c r="J426" s="10" t="s">
        <v>2870</v>
      </c>
      <c r="K426" s="9" t="s">
        <v>2860</v>
      </c>
      <c r="L426" s="9" t="s">
        <v>2792</v>
      </c>
      <c r="M426" s="26">
        <v>46051</v>
      </c>
      <c r="N426" s="27">
        <v>46140</v>
      </c>
      <c r="O426" s="10" t="s">
        <v>2871</v>
      </c>
      <c r="P426" s="10" t="s">
        <v>2872</v>
      </c>
      <c r="Q426" s="42" t="s">
        <v>2799</v>
      </c>
    </row>
    <row r="427" spans="1:17" ht="66" customHeight="1" thickBot="1" x14ac:dyDescent="0.35">
      <c r="A427" s="37" t="s">
        <v>2778</v>
      </c>
      <c r="B427" s="37" t="s">
        <v>2915</v>
      </c>
      <c r="C427" s="37" t="s">
        <v>2856</v>
      </c>
      <c r="D427" s="25" t="s">
        <v>2833</v>
      </c>
      <c r="E427" s="22" t="s">
        <v>2782</v>
      </c>
      <c r="F427" s="25" t="s">
        <v>2873</v>
      </c>
      <c r="G427" s="25" t="s">
        <v>2874</v>
      </c>
      <c r="H427" s="10"/>
      <c r="I427" s="10" t="s">
        <v>650</v>
      </c>
      <c r="J427" s="10" t="s">
        <v>2912</v>
      </c>
      <c r="K427" s="9" t="s">
        <v>2860</v>
      </c>
      <c r="L427" s="9" t="s">
        <v>2792</v>
      </c>
      <c r="M427" s="26">
        <v>46051</v>
      </c>
      <c r="N427" s="27">
        <v>46140</v>
      </c>
      <c r="O427" s="10" t="s">
        <v>2875</v>
      </c>
      <c r="P427" s="10" t="s">
        <v>2876</v>
      </c>
      <c r="Q427" s="42" t="s">
        <v>2799</v>
      </c>
    </row>
    <row r="428" spans="1:17" ht="66" customHeight="1" thickBot="1" x14ac:dyDescent="0.35">
      <c r="A428" s="37" t="s">
        <v>2778</v>
      </c>
      <c r="B428" s="37" t="s">
        <v>2915</v>
      </c>
      <c r="C428" s="37" t="s">
        <v>2877</v>
      </c>
      <c r="D428" s="25" t="s">
        <v>2833</v>
      </c>
      <c r="E428" s="22" t="s">
        <v>2800</v>
      </c>
      <c r="F428" s="25" t="s">
        <v>2801</v>
      </c>
      <c r="G428" s="25" t="s">
        <v>2878</v>
      </c>
      <c r="H428" s="10"/>
      <c r="I428" s="10" t="s">
        <v>650</v>
      </c>
      <c r="J428" s="10" t="s">
        <v>2879</v>
      </c>
      <c r="K428" s="9" t="s">
        <v>2880</v>
      </c>
      <c r="L428" s="9" t="s">
        <v>2792</v>
      </c>
      <c r="M428" s="26">
        <v>46027</v>
      </c>
      <c r="N428" s="27">
        <v>46120</v>
      </c>
      <c r="O428" s="10" t="s">
        <v>2881</v>
      </c>
      <c r="P428" s="10" t="s">
        <v>2882</v>
      </c>
      <c r="Q428" s="42" t="s">
        <v>2802</v>
      </c>
    </row>
    <row r="429" spans="1:17" ht="66" customHeight="1" thickBot="1" x14ac:dyDescent="0.35">
      <c r="A429" s="37" t="s">
        <v>2803</v>
      </c>
      <c r="B429" s="37" t="s">
        <v>2825</v>
      </c>
      <c r="C429" s="37"/>
      <c r="D429" s="25" t="s">
        <v>2784</v>
      </c>
      <c r="E429" s="22"/>
      <c r="F429" s="25" t="s">
        <v>2804</v>
      </c>
      <c r="G429" s="25" t="s">
        <v>2883</v>
      </c>
      <c r="H429" s="10"/>
      <c r="I429" s="10" t="s">
        <v>2884</v>
      </c>
      <c r="J429" s="10" t="s">
        <v>2885</v>
      </c>
      <c r="K429" s="9" t="s">
        <v>2886</v>
      </c>
      <c r="L429" s="9" t="s">
        <v>2792</v>
      </c>
      <c r="M429" s="26" t="s">
        <v>2887</v>
      </c>
      <c r="N429" s="27" t="s">
        <v>2888</v>
      </c>
      <c r="O429" s="10" t="s">
        <v>2889</v>
      </c>
      <c r="P429" s="10" t="s">
        <v>2890</v>
      </c>
      <c r="Q429" s="42" t="s">
        <v>2805</v>
      </c>
    </row>
    <row r="430" spans="1:17" ht="66" customHeight="1" thickBot="1" x14ac:dyDescent="0.35">
      <c r="A430" s="37" t="s">
        <v>2838</v>
      </c>
      <c r="B430" s="37" t="s">
        <v>2825</v>
      </c>
      <c r="C430" s="37"/>
      <c r="D430" s="25" t="s">
        <v>2839</v>
      </c>
      <c r="E430" s="22"/>
      <c r="F430" s="25" t="s">
        <v>2840</v>
      </c>
      <c r="G430" s="25" t="s">
        <v>2891</v>
      </c>
      <c r="H430" s="10"/>
      <c r="I430" s="10" t="s">
        <v>515</v>
      </c>
      <c r="J430" s="10" t="s">
        <v>2892</v>
      </c>
      <c r="K430" s="9" t="s">
        <v>2829</v>
      </c>
      <c r="L430" s="9" t="s">
        <v>2792</v>
      </c>
      <c r="M430" s="26">
        <v>46037</v>
      </c>
      <c r="N430" s="27">
        <v>46113</v>
      </c>
      <c r="O430" s="10" t="s">
        <v>2893</v>
      </c>
      <c r="P430" s="10" t="s">
        <v>2894</v>
      </c>
      <c r="Q430" s="42" t="s">
        <v>2797</v>
      </c>
    </row>
    <row r="431" spans="1:17" ht="66" customHeight="1" thickBot="1" x14ac:dyDescent="0.35">
      <c r="A431" s="37" t="s">
        <v>2838</v>
      </c>
      <c r="B431" s="37" t="s">
        <v>2825</v>
      </c>
      <c r="C431" s="37"/>
      <c r="D431" s="25" t="s">
        <v>2839</v>
      </c>
      <c r="E431" s="22"/>
      <c r="F431" s="25" t="s">
        <v>2845</v>
      </c>
      <c r="G431" s="25" t="s">
        <v>2895</v>
      </c>
      <c r="H431" s="10"/>
      <c r="I431" s="10" t="s">
        <v>515</v>
      </c>
      <c r="J431" s="10" t="s">
        <v>2896</v>
      </c>
      <c r="K431" s="9" t="s">
        <v>2829</v>
      </c>
      <c r="L431" s="9" t="s">
        <v>2792</v>
      </c>
      <c r="M431" s="26">
        <v>46037</v>
      </c>
      <c r="N431" s="27">
        <v>46113</v>
      </c>
      <c r="O431" s="10" t="s">
        <v>2897</v>
      </c>
      <c r="P431" s="10" t="s">
        <v>2898</v>
      </c>
      <c r="Q431" s="42" t="s">
        <v>2797</v>
      </c>
    </row>
    <row r="432" spans="1:17" ht="66" customHeight="1" thickBot="1" x14ac:dyDescent="0.35">
      <c r="A432" s="38" t="s">
        <v>2807</v>
      </c>
      <c r="B432" s="39" t="s">
        <v>2817</v>
      </c>
      <c r="C432" s="39" t="s">
        <v>2899</v>
      </c>
      <c r="D432" s="45" t="s">
        <v>1487</v>
      </c>
      <c r="E432" s="46"/>
      <c r="F432" s="45" t="s">
        <v>2900</v>
      </c>
      <c r="G432" s="45" t="s">
        <v>2901</v>
      </c>
      <c r="H432" s="47"/>
      <c r="I432" s="47" t="s">
        <v>107</v>
      </c>
      <c r="J432" s="47" t="s">
        <v>2913</v>
      </c>
      <c r="K432" s="48" t="s">
        <v>2902</v>
      </c>
      <c r="L432" s="48" t="s">
        <v>2808</v>
      </c>
      <c r="M432" s="49">
        <v>46041</v>
      </c>
      <c r="N432" s="50" t="s">
        <v>2903</v>
      </c>
      <c r="O432" s="47" t="s">
        <v>2904</v>
      </c>
      <c r="P432" s="47" t="s">
        <v>2905</v>
      </c>
      <c r="Q432" s="43" t="s">
        <v>2809</v>
      </c>
    </row>
    <row r="433" spans="1:17" ht="66" customHeight="1" x14ac:dyDescent="0.3">
      <c r="A433" s="40" t="s">
        <v>2906</v>
      </c>
      <c r="B433" s="41" t="s">
        <v>2817</v>
      </c>
      <c r="C433" s="41" t="s">
        <v>2899</v>
      </c>
      <c r="D433" s="55" t="s">
        <v>2810</v>
      </c>
      <c r="E433" s="56"/>
      <c r="F433" s="55" t="s">
        <v>2907</v>
      </c>
      <c r="G433" s="55" t="s">
        <v>2908</v>
      </c>
      <c r="H433" s="51"/>
      <c r="I433" s="51" t="s">
        <v>205</v>
      </c>
      <c r="J433" s="51" t="s">
        <v>2914</v>
      </c>
      <c r="K433" s="52" t="s">
        <v>2902</v>
      </c>
      <c r="L433" s="52" t="s">
        <v>2808</v>
      </c>
      <c r="M433" s="53">
        <v>46048</v>
      </c>
      <c r="N433" s="54" t="s">
        <v>2909</v>
      </c>
      <c r="O433" s="51" t="s">
        <v>2910</v>
      </c>
      <c r="P433" s="51" t="s">
        <v>2911</v>
      </c>
      <c r="Q433" s="44" t="s">
        <v>2811</v>
      </c>
    </row>
  </sheetData>
  <hyperlinks>
    <hyperlink ref="Q2" r:id="rId1" xr:uid="{8557B294-2321-4DAB-BC55-7C4884795738}"/>
    <hyperlink ref="Q3" r:id="rId2" xr:uid="{94D02EBD-4535-41D9-9D87-996AC8BDD70E}"/>
    <hyperlink ref="Q4" r:id="rId3" xr:uid="{A1FB47C1-C1FB-4DBF-B250-7053A7EEA882}"/>
    <hyperlink ref="Q5" r:id="rId4" xr:uid="{81A0BC50-C653-4679-8546-F4E0BAB7CD30}"/>
    <hyperlink ref="Q6" r:id="rId5" xr:uid="{C7371F95-09BA-4DDE-868B-26710A896880}"/>
    <hyperlink ref="Q418" r:id="rId6" display="https://www.google.com/search?q=https://ec.europa.eu/info/funding-tenders/opportunities/portal/screen/opportunities/topic-details/horizon-msca-2026-se-01-01&amp;authuser=2" xr:uid="{29598CF5-9CD8-454C-9BD1-E3E1B5C63D36}"/>
    <hyperlink ref="Q419" r:id="rId7" xr:uid="{01254EC0-426C-460E-8B88-8AA593382BC1}"/>
    <hyperlink ref="Q420" r:id="rId8" xr:uid="{B6B489FB-7FDD-4B3A-B5F8-1C503FAEC346}"/>
    <hyperlink ref="Q421" r:id="rId9" xr:uid="{19DDDEF7-CDFE-423E-9C8F-E6F7FDBD67A6}"/>
    <hyperlink ref="Q422" r:id="rId10" xr:uid="{7048437C-A587-486C-A0C1-533CE37656EB}"/>
    <hyperlink ref="Q423" r:id="rId11" xr:uid="{88AA92AB-1579-48D1-B425-8FFE15973677}"/>
    <hyperlink ref="Q424" r:id="rId12" xr:uid="{C691D767-9C62-485E-9BD7-4E8664E2114F}"/>
    <hyperlink ref="Q425" r:id="rId13" xr:uid="{DD69427D-848C-4478-9564-C6189A159936}"/>
    <hyperlink ref="Q426" r:id="rId14" xr:uid="{8867ECBD-B0E8-4F9F-8C59-65A2F28C63DE}"/>
    <hyperlink ref="Q427" r:id="rId15" xr:uid="{1304D823-2394-4226-9CA0-D3E5BF7A9E1D}"/>
    <hyperlink ref="Q428" r:id="rId16" xr:uid="{91F9478E-CF2D-4A07-B15B-535C27CD6BEF}"/>
    <hyperlink ref="Q429" r:id="rId17" xr:uid="{A8A9C48B-4FA0-4353-AD42-FDAA7356D748}"/>
    <hyperlink ref="Q430" r:id="rId18" xr:uid="{7F802A65-54E6-4664-8783-4752296BB5A6}"/>
    <hyperlink ref="Q431" r:id="rId19" xr:uid="{47B3D234-6702-4572-9FE7-8E50EFDBEB4F}"/>
    <hyperlink ref="Q432" r:id="rId20" xr:uid="{D4B62ECA-A5ED-4CBC-B09F-D82F4C33E6FB}"/>
    <hyperlink ref="Q433" r:id="rId21" xr:uid="{DB63BE3B-66F0-49C6-AD1B-4887C0659ACA}"/>
  </hyperlinks>
  <pageMargins left="0.7" right="0.7" top="0.75" bottom="0.75" header="0.3" footer="0.3"/>
  <pageSetup paperSize="9" orientation="portrait" r:id="rId22"/>
  <tableParts count="1">
    <tablePart r:id="rId2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Universitat Pompeu Fabra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ESTER RODRIGUEZ AGUILAR</dc:creator>
  <cp:lastModifiedBy>u107172</cp:lastModifiedBy>
  <dcterms:created xsi:type="dcterms:W3CDTF">2026-01-20T11:50:40Z</dcterms:created>
  <dcterms:modified xsi:type="dcterms:W3CDTF">2026-03-13T13:54:52Z</dcterms:modified>
</cp:coreProperties>
</file>