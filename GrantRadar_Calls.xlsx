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extLst>
    <ext uri="GoogleSheetsCustomDataVersion2">
      <go:sheetsCustomData xmlns:go="http://customooxmlschemas.google.com/" r:id="rId5" roundtripDataChecksum="xXE9aEF3TX4bX7mAkUAG6gNQjRaJaBW/b6FJF3HokAg="/>
    </ext>
  </extLst>
</workbook>
</file>

<file path=xl/sharedStrings.xml><?xml version="1.0" encoding="utf-8"?>
<sst xmlns="http://schemas.openxmlformats.org/spreadsheetml/2006/main" count="6373" uniqueCount="3249">
  <si>
    <t>Funding Body</t>
  </si>
  <si>
    <t>Programme</t>
  </si>
  <si>
    <t>Subprogramme</t>
  </si>
  <si>
    <t>Discipline</t>
  </si>
  <si>
    <t>Call ID</t>
  </si>
  <si>
    <t>Call Title</t>
  </si>
  <si>
    <t>Keywords</t>
  </si>
  <si>
    <t>SSH Keywords</t>
  </si>
  <si>
    <t>Research Fields</t>
  </si>
  <si>
    <t>Summary</t>
  </si>
  <si>
    <t>Type of Action</t>
  </si>
  <si>
    <t>Single Stage or Two Stage</t>
  </si>
  <si>
    <t>Opening date</t>
  </si>
  <si>
    <t>Deadline(s)</t>
  </si>
  <si>
    <t>Expected Outcomes</t>
  </si>
  <si>
    <t>Scope</t>
  </si>
  <si>
    <t>Call Website</t>
  </si>
  <si>
    <t>European Comission</t>
  </si>
  <si>
    <t>Horizone Europe</t>
  </si>
  <si>
    <t>Pilar II - Global Challenges &amp; European Industrial Competitiveness</t>
  </si>
  <si>
    <t>Digital, Industry and Space</t>
  </si>
  <si>
    <t>HORIZON-HLTH-2026-01-STAYHLTH-02</t>
  </si>
  <si>
    <t>Behavioural interventions as primary prevention for Non-Communicable Diseases (NCDs) among young people</t>
  </si>
  <si>
    <t>Public health and epidemiology; Digital medicine; Clinical and health psychology; Neural basis of behaviour; Software engineering</t>
  </si>
  <si>
    <t>Behavioural and Social studies; Gender studies</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</si>
  <si>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</si>
  <si>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</si>
  <si>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</si>
  <si>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</si>
  <si>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</si>
  <si>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</si>
  <si>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https://ec.europa.eu/info/funding-tenders/opportunities/portal/screen/opportunities/topic-details/horizon-hlth-2026-01-stayhlth-02</t>
  </si>
  <si>
    <t>Health</t>
  </si>
  <si>
    <t>HORIZON-HLTH-2026-01-STAYHLTH-03</t>
  </si>
  <si>
    <t>Building public trust and outreach in the life sciences</t>
  </si>
  <si>
    <t>Science communication; Social studies of science and technology; Communication studies; Communication and information, networks, media; Social policies</t>
  </si>
  <si>
    <t>Communication studies; Social studies; Ethics; Education</t>
  </si>
  <si>
    <t>SH3 The Social World and Its Interactions</t>
  </si>
  <si>
    <t>This action focuses on improving how scientists communicate with the public to build trust in new life science technologies. It involves training researchers in risk communication and creating community events to align scientific work with societal values.</t>
  </si>
  <si>
    <t>CSA</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</si>
  <si>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</si>
  <si>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</si>
  <si>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https://ec.europa.eu/info/funding-tenders/opportunities/portal/screen/opportunities/topic-details/horizon-hlth-2026-01-stayhlth-03</t>
  </si>
  <si>
    <t>HORIZON-HLTH-2027-01-STAYHLTH-01</t>
  </si>
  <si>
    <t>Addressing disabilities through the life course to support independent living and inclusion</t>
  </si>
  <si>
    <t>Disabilities; Independent living; Inclusion; Habilitation; Rehabilitation; Social structure, social mobility, social innovation; Public health and epidemiology</t>
  </si>
  <si>
    <t>Social and Behavioural studies</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</si>
  <si>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</si>
  <si>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</si>
  <si>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</si>
  <si>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</si>
  <si>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https://ec.europa.eu/info/funding-tenders/opportunities/portal/screen/opportunities/topic-details/horizon-hlth-2027-01-stayhlth-01</t>
  </si>
  <si>
    <t>HORIZON-HLTH-2026-01-ENVHLTH-01</t>
  </si>
  <si>
    <t>Towards a better understanding and anticipation of the impacts of climate change on health</t>
  </si>
  <si>
    <t>Environmental health; Public health and epidemiology; Climatology and climate change; Atmospheric chemistry; Bioinformatics and computational biology; Social and Behavioural studies</t>
  </si>
  <si>
    <t>Behavioural and Social studies</t>
  </si>
  <si>
    <t>LS7 Prevention, Diagnosis and Treatment of Human Diseases; PE10 Earth System Science</t>
  </si>
  <si>
    <t>This initiative investigates how changing climate patterns directly influence the occurrence of chronic and infectious diseases. Researchers will develop tools to predict health risks and create strategies to protect vulnerable populations.</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</si>
  <si>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</si>
  <si>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</si>
  <si>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https://ec.europa.eu/info/funding-tenders/opportunities/portal/screen/opportunities/topic-details/horizon-hlth-2026-01-envhlth-01</t>
  </si>
  <si>
    <t>HORIZON-HLTH-2026-01-ENVHLTH-04</t>
  </si>
  <si>
    <t>Towards climate resilient, prepared and carbon neutral populations and healthcare systems</t>
  </si>
  <si>
    <t>Climatology and climate change; Environmental engineering; Sustainability sciences, environment and resources, ecosystem services; Health care; Public health and epidemiology</t>
  </si>
  <si>
    <t>Economics; Sociology; Anthropology; Ethnography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</si>
  <si>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</si>
  <si>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</si>
  <si>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</si>
  <si>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</si>
  <si>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https://ec.europa.eu/info/funding-tenders/opportunities/portal/screen/opportunities/topic-details/horizon-hlth-2026-01-envhlth-04</t>
  </si>
  <si>
    <t>HORIZON-HLTH-2026-01-ENVHLTH-05</t>
  </si>
  <si>
    <t>Support for a multilateral initiative on climate change and health research</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</si>
  <si>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</si>
  <si>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</si>
  <si>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</si>
  <si>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</si>
  <si>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</si>
  <si>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HORIZON-HLTH-2027-01-ENVHLTH-02</t>
  </si>
  <si>
    <t>Integrating climate-related exposures into the human exposome and characterising its changes in response to climate change</t>
  </si>
  <si>
    <t>Climatology and climate change; Environmental health; Public health and epidemiology; Bioinformatics and computational biology; Machine learning; Artificial intelligence</t>
  </si>
  <si>
    <t>Sociology; Economics; Demography; Behavioural studies</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</si>
  <si>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</si>
  <si>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</si>
  <si>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</si>
  <si>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</si>
  <si>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HORIZON-HLTH-2027-01-ENVHLTH-MISSCLIMA-03</t>
  </si>
  <si>
    <t>Tools and technologies to support health adaptation to climate change</t>
  </si>
  <si>
    <t>Public health and epidemiology; Medical technologies and tools; Digital medicine; Climatology and climate change; GIS, spatial analysis</t>
  </si>
  <si>
    <t>LS7 Prevention, Diagnosis and Treatment of Human Diseases; PE7 Systems and Communication Engineering</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</si>
  <si>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</si>
  <si>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PCP</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</si>
  <si>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</si>
  <si>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</si>
  <si>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HORIZON-HLTH-2026-01-DISEASE-02</t>
  </si>
  <si>
    <t>Innovative interventions to prevent the harmful effects of using digital technologies on the mental health of children and young adults</t>
  </si>
  <si>
    <t>Mental disorders; Digital medicine; Neural basis of behaviour; Neural basis of cognition; Clinical and health psychology; Child development</t>
  </si>
  <si>
    <t>Behavioural studies; Sociology; Anthropology</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</si>
  <si>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</si>
  <si>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</si>
  <si>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</si>
  <si>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</si>
  <si>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HORIZON-HLTH-2026-01-DISEASE-03</t>
  </si>
  <si>
    <t>Advancing research on the prevention, diagnosis, and management of post-infection long-term conditions</t>
  </si>
  <si>
    <t>Infectious diseases; Pathophysiology; Biomarkers; Clinical trials; Rehabilitation; Precision medicine; Immunity</t>
  </si>
  <si>
    <t>Social and Behavioural studies; Gender studies</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</si>
  <si>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</si>
  <si>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</si>
  <si>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</si>
  <si>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</si>
  <si>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HORIZON-HLTH-2026-01-DISEASE-04</t>
  </si>
  <si>
    <t>Development of novel vaccines for viral pathogens with epidemic potential</t>
  </si>
  <si>
    <t>Vaccine development; Infectious diseases; Pathogens; Structural biology; Drug design; Innate immunity; Adaptive immunity</t>
  </si>
  <si>
    <t>LS6 Immunity, Infection and Immunotherapy; LS1 Molecules of Life: Biological Mechanisms, Structures and Functions</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</si>
  <si>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</si>
  <si>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</si>
  <si>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</si>
  <si>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HORIZON-HLTH-2026-01-DISEASE-09</t>
  </si>
  <si>
    <t>Multisectoral approach to tackle chronic non-communicable diseases (GACD)</t>
  </si>
  <si>
    <t>Non-communicable diseases; Public health and epidemiology; Implementation science; Social policies; Inequalities, discrimination, prejudice</t>
  </si>
  <si>
    <t>Sociology; Anthropology; Economics; Gender studies</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</si>
  <si>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</si>
  <si>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</si>
  <si>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</si>
  <si>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HORIZON-HLTH-2026-01-DISEASE-11</t>
  </si>
  <si>
    <t>Understanding of sex and/or gender-specific mechanisms of cardiovascular diseases</t>
  </si>
  <si>
    <t>Cardiovascular diseases; Gender; Epigenetics; Genomics; Endocrinology; Public health and epidemiology</t>
  </si>
  <si>
    <t>Gender studies; Behavioural studies; Cultural studies; Anthropology</t>
  </si>
  <si>
    <t>LS4 Physiology in Health, Disease and Ageing; LS7 Prevention, Diagnosis and Treatment of Human Diseases</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</si>
  <si>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</si>
  <si>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</si>
  <si>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</si>
  <si>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</si>
  <si>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</si>
  <si>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</si>
  <si>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</si>
  <si>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This partnership coordinates research across Europe to improve how rare diseases are diagnosed and treated. It builds a network for clinical trials and ensures patient health data is shared securely to speed up the development of new medicines.</t>
  </si>
  <si>
    <t>COFUND</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</si>
  <si>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</si>
  <si>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</si>
  <si>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HORIZON-HLTH-2026-03-DISEASE-13</t>
  </si>
  <si>
    <t>European Partnership for Pandemic Preparedness (Phase 2)</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</si>
  <si>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</si>
  <si>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</si>
  <si>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</si>
  <si>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</si>
  <si>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HORIZON-HLTH-2026-01-DISEASE-15</t>
  </si>
  <si>
    <t>Scaling up innovation in cardiovascular health</t>
  </si>
  <si>
    <t>Cardiovascular diseases; Strategy, operation research; Public health and epidemiology; Digital medicine; Medical applications of artificial intelligence</t>
  </si>
  <si>
    <t>LS7 Prevention, Diagnosis and Treatment of Human Diseases; SH1 Individuals, Markets and Organisations</t>
  </si>
  <si>
    <t>This project will create a long-term research plan to help European countries prevent and detect heart diseases using digital tools and AI. It focuses on removing barriers to innovation and ensuring new screening protocols are adopted widely.</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</si>
  <si>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</si>
  <si>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</si>
  <si>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HORIZON-HLTH-2027-02-DISEASE-01-two-stage</t>
  </si>
  <si>
    <t>Innovative healthcare interventions for non-communicable diseases</t>
  </si>
  <si>
    <t>Cardiovascular diseases; Metabolism and metabolic disorders; Clinical trials; Health care; Digital medicine; Health economics; Multi-morbidity</t>
  </si>
  <si>
    <t>Economics; Social studies; Gender studies</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</si>
  <si>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</si>
  <si>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Two stage</t>
  </si>
  <si>
    <t>Stage 1: 13/04/2027; Stage 2: 22/09/2027</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</si>
  <si>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</si>
  <si>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</si>
  <si>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HORIZON-HLTH-2027-01-DISEASE-05</t>
  </si>
  <si>
    <t>Development of novel small molecule antiviral therapeutics</t>
  </si>
  <si>
    <t>Small molecule drug design; Virology; Infectious diseases; Pharmacology and toxicology; Medicinal chemistry; Clinical trials; GMP</t>
  </si>
  <si>
    <t>LS1 Molecules of Life: Biological Mechanisms, Structures and Functions; LS6 Immunity, Infection and Immunotherapy</t>
  </si>
  <si>
    <t>This call supports the discovery and testing of new small molecule drugs designed to treat viral infections that could cause future pandemics. The goal is to move drug candidates through safety testing and manufacturing for rapid clinical use during a crisis.</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</si>
  <si>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</si>
  <si>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</si>
  <si>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HORIZON-HLTH-2027-01-DISEASE-06</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</si>
  <si>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</si>
  <si>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</si>
  <si>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</si>
  <si>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</si>
  <si>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</si>
  <si>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HORIZON-HLTH-2027-01-DISEASE-07</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</si>
  <si>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</si>
  <si>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</si>
  <si>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</si>
  <si>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</si>
  <si>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</si>
  <si>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HORIZON-HLTH-2027-01-DISEASE-08</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</si>
  <si>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</si>
  <si>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</si>
  <si>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</si>
  <si>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</si>
  <si>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</si>
  <si>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HORIZON-HLTH-2027-01-DISEASE-10</t>
  </si>
  <si>
    <t>Prevention and management of chronic NCDs in young people (GACD)</t>
  </si>
  <si>
    <t>Non-communicable diseases; Public health and epidemiology; Implementation science; Child development; Nutrition; Physical activity</t>
  </si>
  <si>
    <t>Sociology; Anthropology; Economics</t>
  </si>
  <si>
    <t>This call focuses on using implementation research to prevent and manage chronic conditions in youth, especially in disadvantaged communities. Scientists will evaluate school programs and digital tools to help young people adopt lifelong healthy habits.</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</si>
  <si>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</si>
  <si>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</si>
  <si>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HORIZON-HLTH-2027-02-DISEASE-14-two-stage</t>
  </si>
  <si>
    <t>Clinical trials for advancing innovative interventions for neurodegenerative diseases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</si>
  <si>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</si>
  <si>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</si>
  <si>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</si>
  <si>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</si>
  <si>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</si>
  <si>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HORIZON-HLTH-2026-01-CARE-01</t>
  </si>
  <si>
    <t>Public procurement of innovative solutions (integrated care)</t>
  </si>
  <si>
    <t>Health care; Digital medicine; Medical applications of artificial intelligence; Management; Innovation; Spatial economics</t>
  </si>
  <si>
    <t>Public authorities will work together to purchase and deploy new digital technologies that make it easier for patients to access medical care. The goal is to improve coordination between hospitals and home settings using tools like AI.</t>
  </si>
  <si>
    <t>PPI</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</si>
  <si>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</si>
  <si>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</si>
  <si>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HORIZON-HLTH-2027-01-CARE-02</t>
  </si>
  <si>
    <t>Personalised approaches to reduce risks from Adverse Drug Reactions</t>
  </si>
  <si>
    <t>Pharmacology and toxicology; Pharmacogenomics; Digital medicine; Clinical decision support systems; Medical applications of AI; Electronic Health Records</t>
  </si>
  <si>
    <t>LS7 Prevention, Diagnosis and Treatment of Human Diseases; LS2 Integrative Biology</t>
  </si>
  <si>
    <t>Researchers will develop personalised tools to help doctors prevent harmful side effects in patients who take several different medications at once. By using genetic information and digital health records, the project aims to make medication management safer.</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</si>
  <si>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</si>
  <si>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</si>
  <si>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HORIZON-HLTH-2026-01-CARE-03</t>
  </si>
  <si>
    <t>Identifying and addressing low-value care in health systems</t>
  </si>
  <si>
    <t>Health care; Public health and epidemiology; Health economics; Efficiency; Patient safety; Data processing; Management</t>
  </si>
  <si>
    <t>Sociology; Anthropology; Law; Economics; Gender studies</t>
  </si>
  <si>
    <t>This project aims to develop tools that help hospitals identify medical procedures that are wasteful or potentially harmful. By reducing these services, health systems can reallocate limited resources to more effective treatments and improve outcomes.</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</si>
  <si>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</si>
  <si>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</si>
  <si>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HORIZON-HLTH-2026-04-CARE-04</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</si>
  <si>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</si>
  <si>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</si>
  <si>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</si>
  <si>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</si>
  <si>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</si>
  <si>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HORIZON-HLTH-2026-01-TOOL-03</t>
  </si>
  <si>
    <t>Integrating New Approach Methodologies (NAMs)</t>
  </si>
  <si>
    <t>Biotechnology; Toxicology; Simulation engineering and modelling; Medical applications of AI; Organoids; Stem cells; Biomarkers</t>
  </si>
  <si>
    <t>LS9 Biotechnology and Biosystems Engineering; LS7 Prevention, Diagnosis and Treatment of Human Diseases</t>
  </si>
  <si>
    <t>This topic supports the development of laboratory models, such as organ-on-a-chip, that can replace or reduce the need for animal testing. These tools will help scientists better understand diseases and test drug safety more efficiently.</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</si>
  <si>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</si>
  <si>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</si>
  <si>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HORIZON-HLTH-2026-01-TOOL-05</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</si>
  <si>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</si>
  <si>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</si>
  <si>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</si>
  <si>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</si>
  <si>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IA</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</si>
  <si>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</si>
  <si>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</si>
  <si>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HORIZON-HLTH-2026-01-TOOL-06</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</si>
  <si>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</si>
  <si>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</si>
  <si>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</si>
  <si>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</si>
  <si>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</si>
  <si>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HORIZON-HLTH-2026-01-TOOL-07</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</si>
  <si>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</si>
  <si>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</si>
  <si>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</si>
  <si>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</si>
  <si>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</si>
  <si>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</si>
  <si>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HORIZON-HLTH-2027-02-TOOL-01-two-stage</t>
  </si>
  <si>
    <t>Development of predictive biomarkers (AI for NCDs)</t>
  </si>
  <si>
    <t>Bioinformatics and computational biology; AI; Machine learning; ‘omics for personalised medicine; Integrative biology; Genetic diseases</t>
  </si>
  <si>
    <t>LS2 Integrative Biology; PE6 Computer Science and Informatics</t>
  </si>
  <si>
    <t>This topic focuses on using AI to identify biological markers that predict how chronic diseases will progress in individual patients. Researchers will combine diverse health data to help doctors choose the most effective personalised treatments.</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</si>
  <si>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</si>
  <si>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</si>
  <si>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HORIZON-HLTH-2027-03-TOOL-02</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</si>
  <si>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</si>
  <si>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</si>
  <si>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</si>
  <si>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</si>
  <si>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</si>
  <si>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</si>
  <si>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HORIZON-HLTH-2027-03-TOOL-04</t>
  </si>
  <si>
    <t>Virtual Human Twins (VHTs) for clinical decision support</t>
  </si>
  <si>
    <t>Digital medicine; Medical applications of artificial intelligence; Simulation engineering; Scientific computing; Software engineering</t>
  </si>
  <si>
    <t>Economics; Law</t>
  </si>
  <si>
    <t>This action develops advanced computer simulations of human organs to help doctors make better decisions about disease prevention and diagnosis. Virtual models will integrate patient data to provide personalised health insights.</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</si>
  <si>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</si>
  <si>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</si>
  <si>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HORIZON-HLTH-2027-03-TOOL-08</t>
  </si>
  <si>
    <t>Towards Artificial General Intelligence (AGI) for healthcare</t>
  </si>
  <si>
    <t>Artificial intelligence; Machine learning; Natural language processing; Data processing; Bioinformatics; Medical applications of AI</t>
  </si>
  <si>
    <t>PE6 Computer Science and Informatics; LS7 Prevention, Diagnosis and Treatment of Human Diseases</t>
  </si>
  <si>
    <t>This CSA creates a plan for developing highly advanced AI that can handle complex medical tasks across different areas of healthcare. It ensures that health data is used safely and ethically to build these next-generation AI models.</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</si>
  <si>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</si>
  <si>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</si>
  <si>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HORIZON-HLTH-2027-01-IND-01</t>
  </si>
  <si>
    <t>Development of cell-free protein synthesis platforms</t>
  </si>
  <si>
    <t>Synthetic biology; Protein design; Biochemistry; Bioengineering for synthetic biology; Protein biology; Machine learning</t>
  </si>
  <si>
    <t>LS1 Molecules of Life: Biological Mechanisms, Structures and Functions; LS9 Biotechnology and Biosystems Engineering</t>
  </si>
  <si>
    <t>This research aims to develop faster ways to manufacture protein-based medicines without using living cells. By using synthetic biology and AI, scientists will create systems that can produce biological drugs locally and affordably.</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</si>
  <si>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</si>
  <si>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</si>
  <si>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HORIZON-HLTH-2026-01-IND-03</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</si>
  <si>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</si>
  <si>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</si>
  <si>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</si>
  <si>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</si>
  <si>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</si>
  <si>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</si>
  <si>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HORIZON-HLTH-2027-02-IND-02-two-stage</t>
  </si>
  <si>
    <t>Portable and versatile Point-of-care diagnostics</t>
  </si>
  <si>
    <t>Medical technologies; Analytical chemistry; Microfluidics; Sensors; Manufacturing engineering; Production technology</t>
  </si>
  <si>
    <t>LS7 Prevention, Diagnosis and Treatment of Human Diseases; PE8 Products and Processes Engineering</t>
  </si>
  <si>
    <t>This project aims to create portable medical testing devices that provide fast results directly at the patient's bedside. These tools are designed to help healthcare providers make quick treatment decisions in resource-limited settings.</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</si>
  <si>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</si>
  <si>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</si>
  <si>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Culture, Creativity and Inclusive Society</t>
  </si>
  <si>
    <t>HORIZON-CL2-2026-01-DEMOCRACY-01</t>
  </si>
  <si>
    <t>Tackling gender-based violence against politically active women and LGBTIQ people</t>
  </si>
  <si>
    <t>Political systems, governance; Inequalities, discrimination, prejudice; Aggression and violence; Gender-based violence; Intersectionality; Deepfakes; Cyberviolence</t>
  </si>
  <si>
    <t>Gender studies; Political Science; Media studies; Literature; Cultural studies; Anthropology; Ethnology</t>
  </si>
  <si>
    <t>SH2 Institutions, Governance and Legal Systems; SH3 The Social World and Its Interactions</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</si>
  <si>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</si>
  <si>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</si>
  <si>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</si>
  <si>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HORIZON-CL2-2026-01-DEMOCRACY-02</t>
  </si>
  <si>
    <t>Understanding the forms of local democracy in low-income and low-middle income countries</t>
  </si>
  <si>
    <t>Political systems, governance; Democratisation and social movements; Development economics; International relations; Sub-national governance; Fragile contexts</t>
  </si>
  <si>
    <t>Political Science; Public Administration; Economics; Cultural studies; Sociology; Gender studies; Human geography</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</si>
  <si>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</si>
  <si>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</si>
  <si>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</si>
  <si>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HORIZON-CL2-2026-01-DEMOCRACY-03</t>
  </si>
  <si>
    <t>Government in transition – how governments change the way they work and prepare the civil service for the future</t>
  </si>
  <si>
    <t>Political systems, governance; Human resource management; Organisational behaviour; Public administration; Innovation portfolio; Digital transformation; AI in government</t>
  </si>
  <si>
    <t>Public Administration</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</si>
  <si>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</si>
  <si>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</si>
  <si>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</si>
  <si>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HORIZON-CL2-2026-01-DEMOCRACY-04</t>
  </si>
  <si>
    <t>Sustainable paths to media viability</t>
  </si>
  <si>
    <t>Communication and information, networks, media; Digital social research; Business models; Journalism standards; AI in media; Audience engagement</t>
  </si>
  <si>
    <t>Media studies; Behavioural sciences</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</si>
  <si>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</si>
  <si>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</si>
  <si>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</si>
  <si>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</si>
  <si>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HORIZON-CL2-2026-01-DEMOCRACY-05</t>
  </si>
  <si>
    <t>Research and Innovation Network for a Union of Equality</t>
  </si>
  <si>
    <t>Social structure, social mobility, social innovation; Inequalities, discrimination, prejudice; Political systems, governance; Intersectionality; Gender equality</t>
  </si>
  <si>
    <t>Political Science</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</si>
  <si>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</si>
  <si>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</si>
  <si>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</si>
  <si>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HORIZON-CL2-2026-01-DEMOCRACY-06</t>
  </si>
  <si>
    <t>Governing global commons sustainably</t>
  </si>
  <si>
    <t>International relations, global and transnational governance; Sustainability sciences; Environment and resources; Climate change; Biodiversity governance; Global commons; Science diplomacy</t>
  </si>
  <si>
    <t>Political Science; History; Law; Ethics</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</si>
  <si>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</si>
  <si>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</si>
  <si>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</si>
  <si>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</si>
  <si>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HORIZON-CL2-2026-01-DEMOCRACY-07</t>
  </si>
  <si>
    <t>Supporting post-conflict democracy and reconstruction</t>
  </si>
  <si>
    <t>Conflict resolution, war, peace building; Political systems, governance; Social and economic history; Reconciliation; Accountability; Sustainable peace; Post-conflict reconstruction</t>
  </si>
  <si>
    <t>History; Sociology; Psychology; Law; Political Science; Cultural studies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</si>
  <si>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</si>
  <si>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</si>
  <si>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</si>
  <si>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</si>
  <si>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HORIZON-CL2-2026-01-DEMOCRACY-08</t>
  </si>
  <si>
    <t>Electoral integrity in the digital context</t>
  </si>
  <si>
    <t>Political systems, governance; Security, privacy, cryptology; Artificial intelligence; Digital transformation; Disinformation; Foreign interference; Electoral processes</t>
  </si>
  <si>
    <t>Political Science; Media studies</t>
  </si>
  <si>
    <t>SH2 Institutions, Governance and Legal Systems; PE6 Computer Science and Informatics</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</si>
  <si>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</si>
  <si>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</si>
  <si>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</si>
  <si>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HORIZON-CL2-2026-01-DEMOCRACY-09</t>
  </si>
  <si>
    <t>Citizenship education as part of lifelong learning</t>
  </si>
  <si>
    <t>Social aspects of teaching and learning; Curriculum studies; Education and educational policies; Political systems, governance; Lifelong learning; Civic engagement; Vocational training</t>
  </si>
  <si>
    <t>Education</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</si>
  <si>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</si>
  <si>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</si>
  <si>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</si>
  <si>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HORIZON-CL2-2026-01-DEMOCRACY-10</t>
  </si>
  <si>
    <t>Digital and media literacy as drivers for democratic and civic resilience</t>
  </si>
  <si>
    <t>Communication and information, networks, media; Digital social research; Social attitudes and beliefs; Media literacy; Disinformation; Algorithmic amplification; Democratic resilience</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</si>
  <si>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</si>
  <si>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</si>
  <si>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</si>
  <si>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HORIZON-CL2-2027-01-DEMOCRACY-01</t>
  </si>
  <si>
    <t>Advisory support and network for countering and preventing radicalisation, extremism, hate speech and polarisation</t>
  </si>
  <si>
    <t>Aggression and violence, antisocial behaviour, crime; Social attitudes and beliefs; Communication and information, networks, media; Radicalisation; Extremism; Hate speech; Polarisation</t>
  </si>
  <si>
    <t>Political Science; Sociology; Education; Media studies</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</si>
  <si>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</si>
  <si>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</si>
  <si>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</si>
  <si>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HORIZON-CL2-2027-01-DEMOCRACY-02</t>
  </si>
  <si>
    <t>Women’s, LGBTIQ and minority rights in a context of autocracy, conflict and geopolitical shifts</t>
  </si>
  <si>
    <t>Political systems, governance; Democratisation and social movements; Inequalities, discrimination, prejudice; International relations; Autocratic regimes; Human rights; Civic space</t>
  </si>
  <si>
    <t>Gender studies; Political Science; Law</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</si>
  <si>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</si>
  <si>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</si>
  <si>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</si>
  <si>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HORIZON-CL2-2027-01-DEMOCRACY-03</t>
  </si>
  <si>
    <t>Student and family engagement for developing a culture of democratic/civic participation</t>
  </si>
  <si>
    <t>Social aspects of teaching and learning; Education and educational policies; Social structure, social innovation; Citizenship education; Student councils; Family engagement; Civic identity</t>
  </si>
  <si>
    <t>Sociology; Behavioural studies; Education</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</si>
  <si>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</si>
  <si>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</si>
  <si>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</si>
  <si>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HORIZON-CL2-2027-01-DEMOCRACY-04</t>
  </si>
  <si>
    <t>Addressing the impact of artificial intelligence, cyberviolence, and deepfakes on equality, democracy and inclusive societies</t>
  </si>
  <si>
    <t>Digital social research; Artificial intelligence; Machine learning; Inequalities, discrimination, prejudice; Deepfakes; Cyberviolence; Disinformation; Algorithmic bias</t>
  </si>
  <si>
    <t>Communication and Media studies; Ethics; Law; Political Science; Sociology; Psychology; Gender studies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</si>
  <si>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</si>
  <si>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</si>
  <si>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</si>
  <si>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</si>
  <si>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HORIZON-CL2-2027-01-DEMOCRACY-05</t>
  </si>
  <si>
    <t>Development aid and democratic governance</t>
  </si>
  <si>
    <t>International relations, global and transnational governance; Humanitarian assistance and development; Development economics; Democratic governance; Development aid; Multilateralism</t>
  </si>
  <si>
    <t>Political Science; Economics; Sociology; Gender studies</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</si>
  <si>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</si>
  <si>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</si>
  <si>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</si>
  <si>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HORIZON-CL2-2027-01-DEMOCRACY-06</t>
  </si>
  <si>
    <t>Identifying user-focused solutions to support news media freedom</t>
  </si>
  <si>
    <t>Communication and information, networks, media; Digital social research; News media; Media freedom; Journalism; Audience behavior; Business models</t>
  </si>
  <si>
    <t>Media studies; Marketing; Business studies</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</si>
  <si>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</si>
  <si>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</si>
  <si>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</si>
  <si>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HORIZON-CL2-2027-01-DEMOCRACY-07</t>
  </si>
  <si>
    <t>The role of private companies in democracy</t>
  </si>
  <si>
    <t>Political systems, governance; Corporate finance; Institutional economics; Corporate influence; Lobbying; Democratic accountability; Private sector involvement</t>
  </si>
  <si>
    <t>Business; Economics; Political science; Sociology; Anthropology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</si>
  <si>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</si>
  <si>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</si>
  <si>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</si>
  <si>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HORIZON-CL2-2027-01-DEMOCRACY-08</t>
  </si>
  <si>
    <t>Global Human Rights and EU values</t>
  </si>
  <si>
    <t>Constitutions, human rights, international law; International trade; International relations; Global human rights; EU values; Trade policies; Accountability</t>
  </si>
  <si>
    <t>Political Science; Law; Gender studies; Economics; Sociology</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</si>
  <si>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</si>
  <si>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</si>
  <si>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</si>
  <si>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HORIZON-CL2-2027-02-DEMOCRACY-09-two-stage</t>
  </si>
  <si>
    <t>Open topic on reinvigorating and shielding European democracy</t>
  </si>
  <si>
    <t>Political systems, governance; Social innovation; Democratisation and social movements; Civic tech; European democracy; Political participation; Civil society</t>
  </si>
  <si>
    <t>Political Science; Sociology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</si>
  <si>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</si>
  <si>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Stage 1: 04/05/2027; Stage 2: 30/09/2027</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</si>
  <si>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</si>
  <si>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</si>
  <si>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HORIZON-CL2-2026-01-HERITAGE-01</t>
  </si>
  <si>
    <t>“Artistic intelligence” : harnessing the power of the arts to address complex challenges, enhance soft skills and boost innovation and competitiveness</t>
  </si>
  <si>
    <t>History of art and of architecture; Visual and performing arts, screen, arts-based research; Studies of arts; Social studies of science and technology; Soft skills</t>
  </si>
  <si>
    <t>Arts; Cultural and Creative Sectors and Industries; Business studies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</si>
  <si>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</si>
  <si>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</si>
  <si>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</si>
  <si>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</si>
  <si>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HORIZON-CL2-2026-01-HERITAGE-02</t>
  </si>
  <si>
    <t>Boosting creative startups for disruptive innovation</t>
  </si>
  <si>
    <t>Innovation, research &amp; development, entrepreneurship; Strategy, operation research; Creative industries; Startup; Disruptive innovation</t>
  </si>
  <si>
    <t>Cultural and Creative Sectors and Industries</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</si>
  <si>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</si>
  <si>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</si>
  <si>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</si>
  <si>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</si>
  <si>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HORIZON-CL2-2026-01-HERITAGE-03</t>
  </si>
  <si>
    <t>AI integration in CCSI work practice: catalysing innovation and competitiveness</t>
  </si>
  <si>
    <t>Artificial intelligence; Machine learning; Creative industries; Digital social research; Digital approaches to anthropology, cultural studies and art</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</si>
  <si>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</si>
  <si>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</si>
  <si>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</si>
  <si>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</si>
  <si>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HORIZON-CL2-2026-01-HERITAGE-04</t>
  </si>
  <si>
    <t>Towards a fair and transparent market for cultural and creative content in the era of generative AI</t>
  </si>
  <si>
    <t>Artificial intelligence; Machine learning; Legal studies, comparative law, law and economics; Creative industries; Intellectual property management</t>
  </si>
  <si>
    <t>Cultural and Creative Sectors and Industries; Economics; Business; Law; Ethics</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</si>
  <si>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</si>
  <si>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</si>
  <si>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</si>
  <si>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</si>
  <si>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HORIZON-CL2-2026-01-HERITAGE-05</t>
  </si>
  <si>
    <t>Creative alliances: Fostering global partnerships in cultural policies and CCI innovation</t>
  </si>
  <si>
    <t>International relations, global and transnational governance; Cultural studies and theory, cultural identities and memories, cultural heritage; Creative industries; International business; Global partnerships</t>
  </si>
  <si>
    <t>Cultural and Creative Sectors and Industries; Political Science</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</si>
  <si>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</si>
  <si>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</si>
  <si>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</si>
  <si>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</si>
  <si>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HORIZON-CL2-2026-01-HERITAGE-06</t>
  </si>
  <si>
    <t>Safeguarding linguistic diversity in Europe</t>
  </si>
  <si>
    <t>Theoretical linguistics; Computational linguistics; Language learning and processing; Cultural studies and theory, cultural identities and memories, cultural heritage; Sociolinguistics</t>
  </si>
  <si>
    <t>Linguistics; Education; Media studies; Social studies; Cultural studies; Literature; Heritage and museum studies; Theatre studies</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</si>
  <si>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</si>
  <si>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</si>
  <si>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</si>
  <si>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</si>
  <si>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HORIZON-CL2-2026-01-HERITAGE-07</t>
  </si>
  <si>
    <t>Preventing and fighting illicit trafficking of cultural goods</t>
  </si>
  <si>
    <t>Archaeology; Museums, exhibitions, conservation and restoration; Security, privacy, cryptology; Aggression and violence, antisocial behaviour, crime; Cultural heritage</t>
  </si>
  <si>
    <t>Cultural heritage; Arts; Archaeology; History; Law</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</si>
  <si>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</si>
  <si>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</si>
  <si>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</si>
  <si>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</si>
  <si>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HORIZON-CL2-2027-01-HERITAGE-01</t>
  </si>
  <si>
    <t>Towards a consolidated culture and creativity driven European innovation ecosystem</t>
  </si>
  <si>
    <t>Innovation, research &amp; development, entrepreneurship; Management; Strategy, operation research; Creative industries; Regional development</t>
  </si>
  <si>
    <t>Cultural and Creative Industries; Social innovation; Business studies</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</si>
  <si>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</si>
  <si>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</si>
  <si>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</si>
  <si>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HORIZON-CL2-2027-01-HERITAGE-02</t>
  </si>
  <si>
    <t>AI4Creatives Support Platform: embracing a fair AI revolution</t>
  </si>
  <si>
    <t>Artificial intelligence; Machine learning; Creative industries; Digital approaches to anthropology, cultural studies and art; Networks</t>
  </si>
  <si>
    <t>Cultural and Creative Sectors and Industries; Law; Education; Ethics</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</si>
  <si>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</si>
  <si>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</si>
  <si>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</si>
  <si>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HORIZON-CL2-2027-01-HERITAGE-03</t>
  </si>
  <si>
    <t>Crafting routes to a circular economy</t>
  </si>
  <si>
    <t>Sustainability sciences, environment and resources, ecosystem services; Architecture, design, craft, creative industries; Circular economy; Frugal innovation; Environment chemistry</t>
  </si>
  <si>
    <t>Cultural and Creative Sectors and Industries; Business studies; Sociology; Anthropology; Economics; Social innovation</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</si>
  <si>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</si>
  <si>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</si>
  <si>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</si>
  <si>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</si>
  <si>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HORIZON-CL2-2027-01-HERITAGE-04</t>
  </si>
  <si>
    <t>Culture, heritage and creative industries for health and well-being</t>
  </si>
  <si>
    <t>Clinical and health psychology; Museums, exhibitions, conservation and restoration; Social aspects of health, ageing and society; Studies of arts; Well-being</t>
  </si>
  <si>
    <t>Cultural heritage; Cultural and Creative Sectors and Industries; Sociology</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</si>
  <si>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</si>
  <si>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</si>
  <si>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</si>
  <si>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</si>
  <si>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HORIZON-CL2-2027-01-HERITAGE-05</t>
  </si>
  <si>
    <t>Re-imagining the creative economy: the interplay between the cultural and creative sectors and industries and the social economy</t>
  </si>
  <si>
    <t>Social structure, social mobility, social innovation; Management; Organisational behaviour; Creative industries; Social economy</t>
  </si>
  <si>
    <t>Cultural and Creative Sectors and Industries; Economics; Sociology; Political Science; Business studies</t>
  </si>
  <si>
    <t>SH3 The Social World and Its Interactions; SH1 Individuals, Markets and Organisations</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</si>
  <si>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</si>
  <si>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</si>
  <si>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</si>
  <si>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HORIZON-CL2-2027-01-HERITAGE-06</t>
  </si>
  <si>
    <t>Future-proofing sustainable cultural tourism</t>
  </si>
  <si>
    <t>Human, economic and social geography; Cultural studies and theory, cultural identities and memories, cultural heritage; Artificial intelligence; Sustainable development; Tourism</t>
  </si>
  <si>
    <t>Cultural studies; Sociology; Anthropology; Economics; Gender studies; Ethics; Cultural heritage</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</si>
  <si>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</si>
  <si>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</si>
  <si>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</si>
  <si>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HORIZON-CL2-2027-01-HERITAGE-07</t>
  </si>
  <si>
    <t>Societal impact of cultural heritage</t>
  </si>
  <si>
    <t>Cultural studies and theory, cultural identities and memories, cultural heritage; Museums, exhibitions, conservation and restoration; Social structure, social mobility, social innovation; Diversity and identities, gender, interethnic relations</t>
  </si>
  <si>
    <t>Heritage and museum studies; Cultural Anthropology; Ethnology; Media studies; Theatre studies; Literature; Musicology</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</si>
  <si>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</si>
  <si>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</si>
  <si>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</si>
  <si>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HORIZON-CL2-2027-01-HERITAGE-08</t>
  </si>
  <si>
    <t>Safeguarding &amp; transmission of intangible cultural heritage</t>
  </si>
  <si>
    <t>Cultural studies and theory, cultural identities and memories, cultural heritage; Museums, exhibitions, conservation and restoration; Diversity and identities, gender, interethnic relations; Digital approaches to anthropology, cultural studies and art</t>
  </si>
  <si>
    <t>Heritage and museum studies; Cultural Anthropology; Ethnology; Media studies; Theatre studies; Literature; Musicology; Linguistics; Cultural Studies</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</si>
  <si>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</si>
  <si>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</si>
  <si>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</si>
  <si>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HORIZON-CL2-2027-02-HERITAGE-09-two-stage</t>
  </si>
  <si>
    <t>Open topic: Impact-driven research on realising the full potential of cultural heritage, arts and cultural and creative industries</t>
  </si>
  <si>
    <t>Cultural studies and theory, cultural identities and memories, cultural heritage; Studies of arts; Innovation, research &amp; development, entrepreneurship; Social innovation</t>
  </si>
  <si>
    <t>Cultural heritage; Arts;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</si>
  <si>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</si>
  <si>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</si>
  <si>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</si>
  <si>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</si>
  <si>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HORIZON-CL2-2026-02-TRANSFO-01</t>
  </si>
  <si>
    <t>Co-funded European Partnership for Social Transformations and Resilience</t>
  </si>
  <si>
    <t>Social structure, social mobility, social innovation; Social policies, welfare, work and employment; Education and educational policies; Labour economics; Fair transition; Sustainability sciences</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</si>
  <si>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</si>
  <si>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</si>
  <si>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</si>
  <si>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HORIZON-CL2-2026-01-TRANSFO-02</t>
  </si>
  <si>
    <t>Open topic: Strengthen Europe's social model and sustainable competitiveness through productivity</t>
  </si>
  <si>
    <t>Macroeconomics; Economic growth, labour economics; Economic systems, institutional economics; Social policies, welfare, work and employment; Sustainable competitiveness</t>
  </si>
  <si>
    <t>Social studies; Political Science; Economics</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</si>
  <si>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</si>
  <si>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</si>
  <si>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</si>
  <si>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</si>
  <si>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HORIZON-CL2-2026-01-TRANSFO-03</t>
  </si>
  <si>
    <t>Tackling child poverty and ensuring disadvantaged children's access to Early Childhood Education and Care</t>
  </si>
  <si>
    <t>Poverty and poverty alleviation; Inequalities, discrimination, prejudice; Education and educational policies; Social aspects of teaching and learning; Child poverty</t>
  </si>
  <si>
    <t>Economics; Sociology; Education</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</si>
  <si>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</si>
  <si>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</si>
  <si>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</si>
  <si>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</si>
  <si>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HORIZON-CL2-2026-01-TRANSFO-04</t>
  </si>
  <si>
    <t>The impact of the use of digital tools outside school and for communication on educational outcomes and mental health</t>
  </si>
  <si>
    <t>Social aspects of teaching and learning; Digital social research; Mental disorders; Personality and social cognition, emotion; Digital distraction; Video gaming</t>
  </si>
  <si>
    <t>Communication studies; Education; Economics; Sociology; Psychology; Anthropology</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</si>
  <si>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</si>
  <si>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</si>
  <si>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</si>
  <si>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</si>
  <si>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HORIZON-CL2-2026-01-TRANSFO-05</t>
  </si>
  <si>
    <t>Contribution of basic skills to productivity, innovation, competitiveness and economic growth</t>
  </si>
  <si>
    <t>Macroeconomics; Economic growth, labour economics; Innovation, research &amp; development; Education and educational policies; Basic skills; STEM participation</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</si>
  <si>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</si>
  <si>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</si>
  <si>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</si>
  <si>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HORIZON-CL2-2026-01-TRANSFO-06</t>
  </si>
  <si>
    <t>Making Europe a global magnet for talent - Attracting and retaining students, researchers and high-skilled workers from outside the EU</t>
  </si>
  <si>
    <t>Migration; Human, economic and social geography; Labour economics; International business; Talent partnerships; Higher education; Skilled migration</t>
  </si>
  <si>
    <t>Education; Sociology; Anthropology; Gender studies; Political Science</t>
  </si>
  <si>
    <t>SH7 Human Mobility, Environment, and Space; SH1 Individuals, Markets and Organisations</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</si>
  <si>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</si>
  <si>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</si>
  <si>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</si>
  <si>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HORIZON-CL2-2026-01-TRANSFO-07</t>
  </si>
  <si>
    <t>Fostering competences for the green transition</t>
  </si>
  <si>
    <t>Sustainability sciences, environment and resources; Environmental and climate change, societal impact and policy; Labour economics; Education and educational policies; Green skills; Carbon neutrality</t>
  </si>
  <si>
    <t>Education; Sociology; Gender Studies</t>
  </si>
  <si>
    <t>SH7 Human Mobility, Environment, and Space; SH3 The Social World and Its Interactions</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</si>
  <si>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</si>
  <si>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</si>
  <si>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</si>
  <si>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HORIZON-CL2-2026-01-TRANSFO-08</t>
  </si>
  <si>
    <t>Strengthened implementation of the EU Pact on Migration and Asylum and a focus on inclusion, integration, and health</t>
  </si>
  <si>
    <t>Migration; Social integration, exclusion, prosocial behaviour; Social aspects of health, ageing and society; Public health and epidemiology; Health equity; Asylum management</t>
  </si>
  <si>
    <t>Sociology; Law; Political Science</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</si>
  <si>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</si>
  <si>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</si>
  <si>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</si>
  <si>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</si>
  <si>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HORIZON-CL2-2026-01-TRANSFO-09</t>
  </si>
  <si>
    <t>Rethinking long-term care policy in the face of EU demographic shifts</t>
  </si>
  <si>
    <t>Population dynamics: households, family and fertility; Social aspects of health, ageing and society; Health care, including care for the ageing population; Social policies, welfare; Long-term care; Demographic ageing</t>
  </si>
  <si>
    <t>Demography; Sociology; Social innovation; Economics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</si>
  <si>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</si>
  <si>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</si>
  <si>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</si>
  <si>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HORIZON-CL2-2026-01-TRANSFO-10</t>
  </si>
  <si>
    <t>Fostering cooperation and integration between SSH and STEM research and innovation in the EU</t>
  </si>
  <si>
    <t>Social studies of science and technology; Communication and information, networks, media; Innovation, research &amp; development; Interdisciplinary research; SSH-STEM integration</t>
  </si>
  <si>
    <t>Social Sciences and Humanities</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</si>
  <si>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</si>
  <si>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</si>
  <si>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</si>
  <si>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HORIZON-CL2-2027-01-TRANSFO-01</t>
  </si>
  <si>
    <t>Impact of access to nature-positive environments in promoting social cohesion and reducing inequalities in urban and peri-urban settings</t>
  </si>
  <si>
    <t>Cities; Urban, regional and rural studies; Sustainability sciences; Social structure, social innovation; Inequalities, discrimination, prejudice; Social cohesion; Green spaces</t>
  </si>
  <si>
    <t>Sociology; Anthropology; Law; Philosophy; Systems science; Gender Studies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</si>
  <si>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</si>
  <si>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</si>
  <si>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</si>
  <si>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HORIZON-CL2-2027-01-TRANSFO-02</t>
  </si>
  <si>
    <t>Impact of in-kind benefits on income distribution and on vulnerable populations</t>
  </si>
  <si>
    <t>Macroeconomics, labour economics; Social policies, welfare, work and employment; Poverty and poverty alleviation; Inequalities, discrimination, prejudice; In-kind benefits</t>
  </si>
  <si>
    <t>Economics; Sociology</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</si>
  <si>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</si>
  <si>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</si>
  <si>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</si>
  <si>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HORIZON-CL2-2027-01-TRANSFO-03</t>
  </si>
  <si>
    <t>Rethinking sustainable competitiveness beyond traditional perspectives: role and contribution of the Social Economy</t>
  </si>
  <si>
    <t>Social structure, social mobility, social innovation; Macroeconomics, labour economics; Management; Strategy, operation research; Social economy; Sustainable competitiveness</t>
  </si>
  <si>
    <t>Economics; Sociology; Public Administration; Business studies</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</si>
  <si>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</si>
  <si>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</si>
  <si>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</si>
  <si>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HORIZON-CL2-2027-01-TRANSFO-04</t>
  </si>
  <si>
    <t>The impact of EU labour mobility on the Member States of the EU</t>
  </si>
  <si>
    <t>Migration; Labour economics; Social policies, welfare, work and employment; Human, economic and social geography; Labour mobility; Internal market</t>
  </si>
  <si>
    <t>Economics; Sociology; Demography</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</si>
  <si>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</si>
  <si>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</si>
  <si>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</si>
  <si>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HORIZON-CL2-2027-01-TRANSFO-05</t>
  </si>
  <si>
    <t>The effective use of artificial intelligence in learning environments in pre-primary and primary education</t>
  </si>
  <si>
    <t>Social aspects of teaching and learning; Artificial intelligence; Digital social research; Education and educational policies; Cognitive basis of human development; Primary education</t>
  </si>
  <si>
    <t>Education; Political Science; Sociology; Anthropology; Psychology</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</si>
  <si>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</si>
  <si>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</si>
  <si>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</si>
  <si>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HORIZON-CL2-2027-01-TRANSFO-06</t>
  </si>
  <si>
    <t>Closing the learning gap: uncovering causes and effective policy interventions for declining youth skills in mathematics, reading, and science</t>
  </si>
  <si>
    <t>Social aspects of teaching and learning; Education and educational policies; Learning, memory; Cognitive basis of human development; Youth skills; Educational performance</t>
  </si>
  <si>
    <t>Education; Economics; Sociology; Psychology</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</si>
  <si>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</si>
  <si>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</si>
  <si>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</si>
  <si>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HORIZON-CL2-2027-01-TRANSFO-07</t>
  </si>
  <si>
    <t>Persons with disabilities: opportunities for labour inclusion and social protection through the life course</t>
  </si>
  <si>
    <t>Inequalities, discrimination, prejudice; Social policies, welfare, work and employment; Labour economics; Social aspects of health, ageing and society; Disability rights; Labour inclusion</t>
  </si>
  <si>
    <t>Education; Economics; Sociology; Anthropology; Political Sciences; Social innovation</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</si>
  <si>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</si>
  <si>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</si>
  <si>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</si>
  <si>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HORIZON-CL2-2027-01-TRANSFO-08</t>
  </si>
  <si>
    <t>Scaling and deploying innovations in migration management</t>
  </si>
  <si>
    <t>Migration; Social innovation; Strategy, operation research; Digital social research; Management; Innovation deployment; Migration policy</t>
  </si>
  <si>
    <t>Sociology; Political Science; Law; Cultural studies; Social innovation</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</si>
  <si>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</si>
  <si>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</si>
  <si>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</si>
  <si>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HORIZON-CL2-2027-02-TRANSFO-09-two-stage</t>
  </si>
  <si>
    <t>Improving socio-economic outcomes for persons with dementia and informal caregivers</t>
  </si>
  <si>
    <t>Social aspects of health, ageing and society; Neurodegenerative disorders; Clinical and health psychology; Personality and social cognition; Dementia care; Informal caregivers</t>
  </si>
  <si>
    <t>Sociology; Psychology; Economics; Gender studies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</si>
  <si>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</si>
  <si>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</si>
  <si>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</si>
  <si>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</si>
  <si>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Civil Security for Society</t>
  </si>
  <si>
    <t>HORIZON-CL3-2026-01-FCT-01</t>
  </si>
  <si>
    <t>Improving capabilities of law enforcement to counter climate-related challenges</t>
  </si>
  <si>
    <t>Climate change; Environmental chemistry; Social dynamics; Migration; Food and water; Wildlife trafficking; Environmental crime; Forensics</t>
  </si>
  <si>
    <t>Sociology; Criminology; Anthropology; Education; Public Administration</t>
  </si>
  <si>
    <t>PE10 Earth System Science; SH2 Institutions, Governance and Legal Systems</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</si>
  <si>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</si>
  <si>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</si>
  <si>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</si>
  <si>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HORIZON-CL3-2026-01-FCT-02</t>
  </si>
  <si>
    <t>Open topic on preventing and countering the misuse of emerging technologies for criminal purposes, including issues related to lawful access to data</t>
  </si>
  <si>
    <t>Artificial intelligence; Machine learning; Cloud computing; Generative AI; Quantum technologies; Data protection; Privacy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</si>
  <si>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</si>
  <si>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</si>
  <si>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</si>
  <si>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HORIZON-CL3-2026-01-FCT-03</t>
  </si>
  <si>
    <t>Missing persons: prevention and investigation</t>
  </si>
  <si>
    <t>Forensic science; Biometrics; Digital forensics; DNA biology; Mental health; Criminology; Human trafficking; Child protection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</si>
  <si>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</si>
  <si>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</si>
  <si>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</si>
  <si>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</si>
  <si>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HORIZON-CL3-2026-01-FCT-04</t>
  </si>
  <si>
    <t>Crime prevention approaches, online and off-line, tackling the nexus between addictions and crime</t>
  </si>
  <si>
    <t>Social cognition; Emotion; Crime; Aggression and violence; Addiction; Criminal justice; Youth at risk</t>
  </si>
  <si>
    <t>Psychology; Criminology; Gender studies; Communication studies; Media Studies</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</si>
  <si>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</si>
  <si>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</si>
  <si>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</si>
  <si>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HORIZON-CL3-2026-01-FCT-05</t>
  </si>
  <si>
    <t>Enhancing the security of citizens against terrorism and lone-actor violence in confined spaces such as schools</t>
  </si>
  <si>
    <t>Terrorism; Radicalisation; Social psychology; Public administration; Security systems; Human-machine interfaces; Risk awareness</t>
  </si>
  <si>
    <t>Psychology; Sociology; Criminology; Law; Anthropology; Cultural Studies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</si>
  <si>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</si>
  <si>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</si>
  <si>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</si>
  <si>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</si>
  <si>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HORIZON-CL3-2026-01-FCT-06</t>
  </si>
  <si>
    <t>Prevention and mitigation of misuse of synthetic biology for bioterrorism purposes</t>
  </si>
  <si>
    <t>Synthetic biology; Chemical biology; Biotechnology; Biohazards; Pathogens; Infectious diseases; Gene editing; Bioterrorism</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</si>
  <si>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</si>
  <si>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</si>
  <si>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</si>
  <si>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</si>
  <si>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HORIZON-CL3-2027-01-FCT-01</t>
  </si>
  <si>
    <t>Online harms detection and investigation tools using a short development cycle model</t>
  </si>
  <si>
    <t>Deepfakes; Phishing; Identity theft; Security, privacy, cryptology; Artificial intelligence; Software engineering; Disinformation; Digital violence</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</si>
  <si>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</si>
  <si>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</si>
  <si>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</si>
  <si>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HORIZON-CL3-2027-01-FCT-02</t>
  </si>
  <si>
    <t>Community policing in diverse societies in Europe</t>
  </si>
  <si>
    <t>Social structure; Social mobility; Diversity; Identities; Conflict resolution; Migration; Marginalized groups; Hate crimes</t>
  </si>
  <si>
    <t>Sociology; Gender studies; Ethnology; Religious studies</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</si>
  <si>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</si>
  <si>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</si>
  <si>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</si>
  <si>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</si>
  <si>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HORIZON-CL3-2027-01-FCT-03</t>
  </si>
  <si>
    <t>Open topic on enhanced prevention, detection and deterrence of societal issues related to various forms of crime</t>
  </si>
  <si>
    <t>Social innovation; Cultural heritage; Crime; Terrorism; Radicalisation; Ethics; Policy; Regulation</t>
  </si>
  <si>
    <t>Cultural and Social studies; Criminology</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</si>
  <si>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</si>
  <si>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</si>
  <si>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</si>
  <si>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</si>
  <si>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HORIZON-CL3-2027-01-FCT-04</t>
  </si>
  <si>
    <t>Open topic on increasing security of citizens against terrorism, including in public spaces</t>
  </si>
  <si>
    <t>Terrorism; Security, privacy, cryptology; Public spaces; Communication systems; Wireless technology; Social policies; Data protection</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</si>
  <si>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</si>
  <si>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</si>
  <si>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</si>
  <si>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</si>
  <si>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HORIZON-CL3-2027-01-FCT-05</t>
  </si>
  <si>
    <t>Effective and evidence-based responses to the increased availability and use of synthetic drugs and stimulants in Europe</t>
  </si>
  <si>
    <t>Toxicology; Synthetic drugs; Cocaine; Stimulants; Supply chain; Social factors; Drug trafficking; Pharmacology</t>
  </si>
  <si>
    <t>Anthropology; Cultural Studies; Sociology; Economics; Law; Ethics; Gender Studies</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</si>
  <si>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</si>
  <si>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</si>
  <si>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</si>
  <si>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HORIZON-CL3-2026-01-BM-01</t>
  </si>
  <si>
    <t>Advanced border surveillance and situational awareness</t>
  </si>
  <si>
    <t>Unmanned aerial vehicles; Earth observations; Signal processing; Maritime surveillance; Remote sensing; Geohazards; Robotics</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</si>
  <si>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</si>
  <si>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</si>
  <si>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</si>
  <si>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</si>
  <si>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HORIZON-CL3-2026-01-BM-02</t>
  </si>
  <si>
    <t>Accessible and available travel facilitation</t>
  </si>
  <si>
    <t>Human computer interaction; Security, privacy, cryptology; Digital identity; Social innovation; Data protection; Biometric matching</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</si>
  <si>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</si>
  <si>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</si>
  <si>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</si>
  <si>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HORIZON-CL3-2026-01-BM-03</t>
  </si>
  <si>
    <t>Reliability of age assessment methods in the context of security and border management</t>
  </si>
  <si>
    <t>Medical imaging; Medical ethics; Legal studies; Child protection; Forensic science; Data analysis; Human rights</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</si>
  <si>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</si>
  <si>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</si>
  <si>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</si>
  <si>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HORIZON-CL3-2027-01-BM-01</t>
  </si>
  <si>
    <t>Open topic on research and innovation for effective management of EU external borders that promotes fundamental rights and EU values</t>
  </si>
  <si>
    <t>International law; Diversity and identities; Social innovation; Border checks; Ethics; Intersectional perspectives; Migration</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</si>
  <si>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</si>
  <si>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</si>
  <si>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</si>
  <si>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HORIZON-CL3-2027-01-BM-02</t>
  </si>
  <si>
    <t>Trusted, secure, quality future digital travel credentials</t>
  </si>
  <si>
    <t>Security, privacy, cryptology; Machine learning; Wireless technology; Internet of things; Biometrics; Digital travel credentials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</si>
  <si>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</si>
  <si>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</si>
  <si>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</si>
  <si>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</si>
  <si>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HORIZON-CL3-2027-01-BM-03</t>
  </si>
  <si>
    <t>Detection and characterisation of threats or illegal/ smuggled goods in cargo</t>
  </si>
  <si>
    <t>Environment chemistry; Artificial intelligence; Machine learning; Multi-modal transport; Crime; Supply chain security; Tracking and tracing</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</si>
  <si>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</si>
  <si>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</si>
  <si>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</si>
  <si>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</si>
  <si>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HORIZON-CL3-2026-01-INFRA-01</t>
  </si>
  <si>
    <t>Tools and processes to support stress tests of critical infrastructure</t>
  </si>
  <si>
    <t>Scientific computing and data processing; Software engineering; Security, privacy, cryptology; Simulation engineering and modelling; Civil engineering; Digital twins; Vulnerability; Scenario building</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</si>
  <si>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</si>
  <si>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</si>
  <si>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</si>
  <si>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</si>
  <si>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HORIZON-CL3-2026-01-INFRA-02</t>
  </si>
  <si>
    <t>Security challenges of the green transition in urban und peri urban areas</t>
  </si>
  <si>
    <t>Environmental engineering; Energy processes engineering; Cities; Urban, regional and rural studies; Sustainability sciences; Security, privacy, cryptology; Green technology; Battery fires</t>
  </si>
  <si>
    <t>PE8 Products and Processes Engineering; SH7 Human Mobility, Environment, and Space</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</si>
  <si>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</si>
  <si>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</si>
  <si>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</si>
  <si>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HORIZON-CL3-2026-01-INFRA-03</t>
  </si>
  <si>
    <t>Targeted innovative capabilities for the resilience of critical entities to natural and human-induced disasters, including hybrid scenarios</t>
  </si>
  <si>
    <t>Geohazards; Earth system modelling; Civil engineering; Simulation engineering and modelling; Communication systems; Multi-hazard; Cascading risk; Situational awareness</t>
  </si>
  <si>
    <t>PE10 Earth System Science; PE8 Products and Processes Engineering</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</si>
  <si>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</si>
  <si>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</si>
  <si>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</si>
  <si>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HORIZON-CL3-2027-01-INFRA-01</t>
  </si>
  <si>
    <t>Enhancing physical protection of critical infrastructures</t>
  </si>
  <si>
    <t>Robotics; Systems engineering; Civil engineering; Architecture; Security, privacy, cryptology; Security-by-design; Spatial planning; Swarm robotics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</si>
  <si>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</si>
  <si>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</si>
  <si>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</si>
  <si>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</si>
  <si>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HORIZON-CL3-2027-01-INFRA-02</t>
  </si>
  <si>
    <t>Impact of malicious use of Open-Source Intelligence on critical infrastructure business continuity</t>
  </si>
  <si>
    <t>Security, privacy, cryptology; Artificial intelligence; Machine learning; Databases, web and information systems; Information retrieval; Data phishing; Social media; Deep web</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</si>
  <si>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</si>
  <si>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</si>
  <si>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</si>
  <si>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HORIZON-CL3-2026-01-DRS-01</t>
  </si>
  <si>
    <t>Designing new ways of risk awareness and enhanced disaster preparedness</t>
  </si>
  <si>
    <t>Social innovation; Risk perception; Digital platforms; Immersive technologies; Participatory tools; Behavioural insights; Wildlife protection; Gender and disabilities</t>
  </si>
  <si>
    <t>Social and Behavioural studies; Communication studies; Media studies; Gender Studies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</si>
  <si>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</si>
  <si>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</si>
  <si>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</si>
  <si>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HORIZON-CL3-2026-01-DRS-02</t>
  </si>
  <si>
    <t>Multi-hazard approach and cumulative / cascading impacts</t>
  </si>
  <si>
    <t>Multi-hazard; Cascading effects; Predictive models; Artificial intelligence; Remote sensing; Numerical simulations; Platform interoperability; Disaster risk management</t>
  </si>
  <si>
    <t>Anthropology; Sociology; Economics; Gender Studies; Political Science</t>
  </si>
  <si>
    <t>PE10 Earth System Science; PE6 Computer Science and Informatics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</si>
  <si>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</si>
  <si>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</si>
  <si>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</si>
  <si>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HORIZON-CL3-2026-01-DRS-03</t>
  </si>
  <si>
    <t>Development of innovative tools, processes, equipment and technologies through responses to disasters and emergencies for search and rescue in hazardous conditions</t>
  </si>
  <si>
    <t>Search and rescue; Robotics; Autonomous systems; Remote sensing; Smart protective equipment; Command-and-control; Situational awareness; Human sensor technologies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</si>
  <si>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</si>
  <si>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</si>
  <si>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</si>
  <si>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HORIZON-CL3-2026-01-DRS-04</t>
  </si>
  <si>
    <t>Open topic on driving innovation uptake of disaster risk solutions</t>
  </si>
  <si>
    <t>Innovation uptake; Technology readiness level; Pilot projects; Evidence-based decision-making; Interoperability; Digital twins; Commercialization; Civil protection systems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</si>
  <si>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</si>
  <si>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</si>
  <si>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</si>
  <si>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</si>
  <si>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HORIZON-CL3-2026-01-DRS-05</t>
  </si>
  <si>
    <t>Climate security and civil preparedness – new ways to develop pre- and post-crisis climate-change related scenarios for a more resilient Europe</t>
  </si>
  <si>
    <t>Climate security; Risk forecasting; Crisis management; Situational awareness; Flooding; Landslides; Satellite remote sensing; Adaptation measures</t>
  </si>
  <si>
    <t>PE10 Earth System Science; SH7 Human Mobility, Environment, and Space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</si>
  <si>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</si>
  <si>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</si>
  <si>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</si>
  <si>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HORIZON-CL3-2027-01-DRS-01</t>
  </si>
  <si>
    <t>Open Topic on advanced protective gear optimized for CBRN-E (Chemical, Biological, Radiological, Nuclear, Explosives) environments and new generation of smart protective equipment for disaster responders</t>
  </si>
  <si>
    <t>CBRN-E; Protective gear; Smart equipment; Hazardous environments; Innovative materials; Real-time situational awareness; Communication systems; User-centric design</t>
  </si>
  <si>
    <t>PE8 Products and Processes Engineering; PE11 Materials Engineering</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</si>
  <si>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</si>
  <si>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</si>
  <si>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</si>
  <si>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HORIZON-CL3-2027-01-DRS-02</t>
  </si>
  <si>
    <t>Societal resilience, engagement of the younger generations and digital innovation for disaster resilience</t>
  </si>
  <si>
    <t>Societal resilience; Youth engagement; Digital innovation; Gamification; Interactive learning; Citizen science; Artificial intelligence; Virtual reality</t>
  </si>
  <si>
    <t>Behavioural studies; Economics; Education; Social Innovation</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</si>
  <si>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</si>
  <si>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</si>
  <si>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</si>
  <si>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HORIZON-CL3-2027-01-DRS-03</t>
  </si>
  <si>
    <t>Enhancing decision support system for disaster crises: leveraging emerging technologies for improved civil preparedness and crisis management</t>
  </si>
  <si>
    <t>Decision support systems; Artificial intelligence; Real-time data; Situational awareness; Predictive modelling; Drones; Interoperability;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</si>
  <si>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</si>
  <si>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</si>
  <si>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</si>
  <si>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HORIZON-CL3-2027-01-DRS-04</t>
  </si>
  <si>
    <t>Enhancing preparedness for large-scale cross-border disasters</t>
  </si>
  <si>
    <t>Cross-border disasters; Virtual reality; Augmented reality; Simulations; Digital twins; Transboundary hazards; Knowledge sharing; Interoperability</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</si>
  <si>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</si>
  <si>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</si>
  <si>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</si>
  <si>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HORIZON-CL3-2026-01-SSRI-01</t>
  </si>
  <si>
    <t>Open topic on supporting disruptive technological innovations for civil security</t>
  </si>
  <si>
    <t>Innovation; Research &amp; development; Technology foresight; Disruptive technologies; Technology readiness levels; Breakthrough technologies; Risk mitigation</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</si>
  <si>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</si>
  <si>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</si>
  <si>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</si>
  <si>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HORIZON-CL3-2026-01-SSRI-02</t>
  </si>
  <si>
    <t>Demand-led innovation in security</t>
  </si>
  <si>
    <t>Public procurement; Pre-commercial procurement; R&amp;D services; Market landscape; Startups; SMEs; Technology validation</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</si>
  <si>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</si>
  <si>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</si>
  <si>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</si>
  <si>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</si>
  <si>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HORIZON-CL3-2026-01-SSRI-03</t>
  </si>
  <si>
    <t>Public procurement of innovation for security</t>
  </si>
  <si>
    <t>Innovation procurement; Market readiness; Post-quantum cryptography; Scalability; Deployment; Technical performance; Best-value-for-money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</si>
  <si>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</si>
  <si>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</si>
  <si>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</si>
  <si>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</si>
  <si>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HORIZON-CL3-2026-01-SSRI-04</t>
  </si>
  <si>
    <t>Development of ecosystem and next-generation capabilities for a secured European Critical Communication System in civil security</t>
  </si>
  <si>
    <t>Communication systems; Wireless technology; Internet of Things; Post-quantum cryptography; Situational awareness; Mission-critical services; Wearable sensors; Ruggedized devices</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</si>
  <si>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</si>
  <si>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</si>
  <si>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</si>
  <si>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</si>
  <si>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HORIZON-CL3-2027-01-SSRI-01</t>
  </si>
  <si>
    <t>Accelerating uptake through open proposals for advanced SME innovation</t>
  </si>
  <si>
    <t>Innovation; SMEs; Startups; Technology transfer; Business models; Market requirements; Knowledge transfer; IP management; Civil security</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</si>
  <si>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</si>
  <si>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</si>
  <si>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</si>
  <si>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HORIZON-CL3-2027-01-SSRI-02</t>
  </si>
  <si>
    <t>Open grounds for future pre-commercial procurement of innovative security technologies</t>
  </si>
  <si>
    <t>Public procurement; Open market consultation; Technical alternatives; Technology maturation; Joint procurement; Market mapping; Legal feasibility</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</si>
  <si>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</si>
  <si>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</si>
  <si>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</si>
  <si>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HORIZON-CL3-2027-01-SSRI-03</t>
  </si>
  <si>
    <t>Pre-commercial procurement; R&amp;D services; Prototyping; Industrial base; Market demand; Technology validation; Innovation procurement</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</si>
  <si>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</si>
  <si>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</si>
  <si>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</si>
  <si>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HORIZON-CL3-2026-02-CS-ECCC-01</t>
  </si>
  <si>
    <t>Approaches and tools for security in software and hardware development and assessment</t>
  </si>
  <si>
    <t>Hardware security, Software supply chain, Trusted chips, Vulnerability detection, Security-by-design</t>
  </si>
  <si>
    <t>PE6 Computer Science and Informatics</t>
  </si>
  <si>
    <t>Securing the software and hardware development lifecycle through trusted chip architectures, tamper-resistant designs, and automated software vulnerability patching.</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</si>
  <si>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</si>
  <si>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</si>
  <si>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HORIZON-CL3-2026-02-CS-ECCC-02</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</si>
  <si>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</si>
  <si>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</si>
  <si>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</si>
  <si>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</si>
  <si>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</si>
  <si>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HORIZON-CL3-2026-02-CS-ECCC-03</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</si>
  <si>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</si>
  <si>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</si>
  <si>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</si>
  <si>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</si>
  <si>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</si>
  <si>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HORIZON-CL3-2027-02-CS-ECCC-01</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</si>
  <si>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</si>
  <si>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</si>
  <si>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</si>
  <si>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</si>
  <si>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</si>
  <si>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HORIZON-CL3-2027-02-CS-ECCC-02</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</si>
  <si>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</si>
  <si>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</si>
  <si>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</si>
  <si>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</si>
  <si>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</si>
  <si>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HORIZON-CL3-2027-02-CS-ECCC-03</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</si>
  <si>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</si>
  <si>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</si>
  <si>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</si>
  <si>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</si>
  <si>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</si>
  <si>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HORIZON-CL3-2027-02-CS-ECCC-04</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</si>
  <si>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</si>
  <si>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</si>
  <si>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</si>
  <si>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</si>
  <si>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</si>
  <si>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</si>
  <si>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</si>
  <si>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</si>
  <si>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</si>
  <si>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</si>
  <si>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Stage 1: 17/03/2026; Stage 2: 13/10/2026</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</si>
  <si>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</si>
  <si>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</si>
  <si>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</si>
  <si>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</si>
  <si>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</si>
  <si>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</si>
  <si>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</si>
  <si>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</si>
  <si>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</si>
  <si>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</si>
  <si>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</si>
  <si>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</si>
  <si>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</si>
  <si>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</si>
  <si>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</si>
  <si>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</si>
  <si>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</si>
  <si>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</si>
  <si>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</si>
  <si>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</si>
  <si>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This action provides travel grants to European researchers to foster collaboration with Japanese institutions on innovative advanced materials. It intends to strengthen international partnerships in strategic areas like energy, electronics, and medical devices.</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</si>
  <si>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</si>
  <si>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</si>
  <si>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HORIZON-CL4-2026-01-MAT-PROD-01</t>
  </si>
  <si>
    <t>Advanced manufacturing for key products (IA)</t>
  </si>
  <si>
    <t>Production technology; Manufacturing engineering and industrial design; Engineering of polymers and plastics; Engineering of composites and hybrid materials; Mechanical engineering</t>
  </si>
  <si>
    <t>This topic promotes the development of advanced manufacturing machinery to create high-performance products within Europe. It seeks to increase resource efficiency and circularity by using secondary raw materials and innovative advanced materials in production.</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</si>
  <si>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</si>
  <si>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</si>
  <si>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HORIZON-CL4-2027-01-MAT-PROD-02</t>
  </si>
  <si>
    <t>Manufacturing engineering and industrial design; Production technology; Thin films; Engineering of metals and alloys; Engineering of polymers and plastics</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</si>
  <si>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</si>
  <si>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</si>
  <si>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</si>
  <si>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HORIZON-CL4-2027-01-MAT-PROD-03</t>
  </si>
  <si>
    <t>Factory processes and automation for de- and re-manufacturing (RIA)</t>
  </si>
  <si>
    <t>Robotics; Computer vision; Artificial intelligence; Production technology; Process engineering</t>
  </si>
  <si>
    <t>This topic focuses on factory-level automation and AI technologies to enable the efficient disassembly and repair of products. The goal is to build a strong European remanufacturing market that restores product functions and retains material value.</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</si>
  <si>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</si>
  <si>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</si>
  <si>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HORIZON-CL4-2026-01-MAT-PROD-04</t>
  </si>
  <si>
    <t>Optimise the usage of resources in a circular economy (RIA)</t>
  </si>
  <si>
    <t>Environmental engineering; Recycling; Waste and water treatment; Process engineering; Production technology</t>
  </si>
  <si>
    <t>PE8 Products and Processes Engineering</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</si>
  <si>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</si>
  <si>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</si>
  <si>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</si>
  <si>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</si>
  <si>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</si>
  <si>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</si>
  <si>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</si>
  <si>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</si>
  <si>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</si>
  <si>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</si>
  <si>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HORIZON-CL4-2027-01-MAT-PROD-06</t>
  </si>
  <si>
    <t>Engineering of composites and hybrid materials; Engineering of polymers and plastics; Porous materials engineering; Structural properties of materials; New materials</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</si>
  <si>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</si>
  <si>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</si>
  <si>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</si>
  <si>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</si>
  <si>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</si>
  <si>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</si>
  <si>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PE11 Materials Engineering; PE8 Products and Processes Engineering</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</si>
  <si>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</si>
  <si>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</si>
  <si>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</si>
  <si>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</si>
  <si>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</si>
  <si>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</si>
  <si>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</si>
  <si>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This project focuses on reducing the costs of products made from CO2 by integrating capture and conversion processes more efficiently. It aims to use renewable energy and waste heat to lower the carbon footprint of industrial production.</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</si>
  <si>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</si>
  <si>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</si>
  <si>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</si>
  <si>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</si>
  <si>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</si>
  <si>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</si>
  <si>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</si>
  <si>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Stage 1: 02/02/2027; Stage 2: 02/09/2027</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</si>
  <si>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</si>
  <si>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</si>
  <si>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HORIZON-CL4-2026-01-MAT-PROD-41</t>
  </si>
  <si>
    <t>Enhancing industry-academia knowledge exchange in Social Sciences and Humanities (SSH) (CSA)</t>
  </si>
  <si>
    <t>Social studies of science and technology; Innovation; Strategy; Research &amp; development; Management</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</si>
  <si>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</si>
  <si>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</si>
  <si>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</si>
  <si>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HORIZON-CL4-2027-01-MAT-PROD-42</t>
  </si>
  <si>
    <t>Unlocking the potential of academic intellectual assets for industry, SMEs and startups (CSA)</t>
  </si>
  <si>
    <t>Innovation; Strategy; Management; Research &amp; development; Application of mathematics in industry and society</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</si>
  <si>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</si>
  <si>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</si>
  <si>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</si>
  <si>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</si>
  <si>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</si>
  <si>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</si>
  <si>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</si>
  <si>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</si>
  <si>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</si>
  <si>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</si>
  <si>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</si>
  <si>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</si>
  <si>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</si>
  <si>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</si>
  <si>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</si>
  <si>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</si>
  <si>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HORIZON-CL4-2026-01-MAT-PROD-44</t>
  </si>
  <si>
    <t>Attracting management talent for capacity building for Technology Infrastructures staff members (CSA)</t>
  </si>
  <si>
    <t>Management; Strategy; Operations management; Innovation; Organisational behaviour</t>
  </si>
  <si>
    <t>Business studies; Economics</t>
  </si>
  <si>
    <t>SH1 Individuals, Markets and Organisations</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</si>
  <si>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</si>
  <si>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</si>
  <si>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</si>
  <si>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HORIZON-CL4-2026-01-MAT-PROD-45</t>
  </si>
  <si>
    <t>Pilot access schemes to Technology Infrastructures for European startups, scaleups and innovative SMEs (CSA)</t>
  </si>
  <si>
    <t>Innovation; Strategy; Management; International business; Research &amp; development</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</si>
  <si>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</si>
  <si>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</si>
  <si>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</si>
  <si>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HORIZON-CL4-2026-01-MAT-PROD-46</t>
  </si>
  <si>
    <t>Mapping and service finder for Technology Infrastructures (CSA)</t>
  </si>
  <si>
    <t>Databases; Information systems; Information retrieval; Web and information systems; Databases, web and information systems</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</si>
  <si>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</si>
  <si>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</si>
  <si>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</si>
  <si>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HORIZON-CL4-2027-01-MAT-PROD-47</t>
  </si>
  <si>
    <t>Innovation; Strategy; Research &amp; development; Management; International business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</si>
  <si>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</si>
  <si>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</si>
  <si>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</si>
  <si>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HORIZON-CL4-2026-01-MAT-PROD-48</t>
  </si>
  <si>
    <t>‘Proof of market’ to improve valorisation and commercialisation of Horizon generated R&amp;I results (IA)</t>
  </si>
  <si>
    <t>Innovation; Strategy; Marketing; Consumer behaviour; International trade</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</si>
  <si>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</si>
  <si>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</si>
  <si>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</si>
  <si>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HORIZON-CL4-2027-01-MAT-PROD-49</t>
  </si>
  <si>
    <t>Innovation; Strategy; Marketing; Management; International business</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</si>
  <si>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</si>
  <si>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</si>
  <si>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</si>
  <si>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HORIZON-CL4-2026-01-MAT-PROD-11</t>
  </si>
  <si>
    <t>Innovative technologies and tools for exploration and data modelling of raw materials (RIA)</t>
  </si>
  <si>
    <t>Earth observations from space; Remote sensing; Terrestrial ecology; Physical geography; Geomorphology</t>
  </si>
  <si>
    <t>PE10 Earth System Science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</si>
  <si>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</si>
  <si>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</si>
  <si>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</si>
  <si>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</si>
  <si>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</si>
  <si>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</si>
  <si>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</si>
  <si>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</si>
  <si>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</si>
  <si>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</si>
  <si>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HORIZON-CL4-2026-01-MAT-PROD-13</t>
  </si>
  <si>
    <t>Monitoring of secondary raw materials (CSA)</t>
  </si>
  <si>
    <t>Environmental engineering; Recycling; Waste and water treatment; Terrestrial ecology; Biogeochemistry</t>
  </si>
  <si>
    <t>PE8 Products and Processes Engineering; PE10 Earth System Science</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</si>
  <si>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</si>
  <si>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</si>
  <si>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</si>
  <si>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HORIZON-CL4-2026-01-MAT-PROD-14</t>
  </si>
  <si>
    <t>Improving availability of secondary raw materials through recycling (IA)</t>
  </si>
  <si>
    <t>Environmental engineering; Recycling; Sustainable design; Production technology; Process engineering</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</si>
  <si>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</si>
  <si>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</si>
  <si>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</si>
  <si>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HORIZON-CL4-2027-01-MAT-PROD-16</t>
  </si>
  <si>
    <t>Technologies for innovative processing of raw materials (IA)</t>
  </si>
  <si>
    <t>Production technology; Process engineering; Chemical engineering; Waste and water treatment; Environmental engineering</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</si>
  <si>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</si>
  <si>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</si>
  <si>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</si>
  <si>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HORIZON-CL4-2027-01-MAT-PROD-17</t>
  </si>
  <si>
    <t>Expert network on Critical raw materials (CSA)</t>
  </si>
  <si>
    <t>Innovation; Strategy; Research &amp; development; International business; International trade</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</si>
  <si>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</si>
  <si>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</si>
  <si>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</si>
  <si>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</si>
  <si>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</si>
  <si>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</si>
  <si>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</si>
  <si>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</si>
  <si>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</si>
  <si>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</si>
  <si>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</si>
  <si>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</si>
  <si>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</si>
  <si>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</si>
  <si>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</si>
  <si>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</si>
  <si>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</si>
  <si>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</si>
  <si>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</si>
  <si>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</si>
  <si>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</si>
  <si>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</si>
  <si>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</si>
  <si>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</si>
  <si>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</si>
  <si>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</si>
  <si>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</si>
  <si>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</si>
  <si>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</si>
  <si>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</si>
  <si>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</si>
  <si>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</si>
  <si>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</si>
  <si>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</si>
  <si>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</si>
  <si>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</si>
  <si>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</si>
  <si>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</si>
  <si>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</si>
  <si>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</si>
  <si>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</si>
  <si>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</si>
  <si>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</si>
  <si>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</si>
  <si>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</si>
  <si>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</si>
  <si>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</si>
  <si>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</si>
  <si>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</si>
  <si>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</si>
  <si>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</si>
  <si>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</si>
  <si>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</si>
  <si>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</si>
  <si>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</si>
  <si>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</si>
  <si>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</si>
  <si>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</si>
  <si>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</si>
  <si>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</si>
  <si>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</si>
  <si>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</si>
  <si>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</si>
  <si>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</si>
  <si>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</si>
  <si>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</si>
  <si>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</si>
  <si>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</si>
  <si>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PE6 Computer Science and Informatics; SH1 Individuals, Markets and Organisations</t>
  </si>
  <si>
    <t>This project organizes multi-stage competitions to drive AI breakthroughs in strategic sectors like healthcare, manufacturing, and autonomous driving. It provides financial support to SMEs to develop and scale high-impact solutions that meet specific industry needs.</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</si>
  <si>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</si>
  <si>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</si>
  <si>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</si>
  <si>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</si>
  <si>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</si>
  <si>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</si>
  <si>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</si>
  <si>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</si>
  <si>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</si>
  <si>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</si>
  <si>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</si>
  <si>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</si>
  <si>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</si>
  <si>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</si>
  <si>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</si>
  <si>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</si>
  <si>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</si>
  <si>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</si>
  <si>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</si>
  <si>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</si>
  <si>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</si>
  <si>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HORIZON-CL4-2026-04-DIGITAL-EMERGING-08</t>
  </si>
  <si>
    <t>Apply AI: Robotics for Manufacturing: Advancing Core Skills through Technical Challenges (RIA) (Partnership in AI, Data and Robotics)</t>
  </si>
  <si>
    <t>Robotics; Manufacturing engineering and industrial design; Artificial intelligence; Machine learning; Automotive and rail engineering; Multi-/inter-modal transport engineering</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</si>
  <si>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</si>
  <si>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</si>
  <si>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</si>
  <si>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</si>
  <si>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</si>
  <si>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</si>
  <si>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</si>
  <si>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</si>
  <si>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</si>
  <si>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</si>
  <si>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HORIZON-CL4-2027-04-DIGITAL-EMERGING-06</t>
  </si>
  <si>
    <t>International cooperation in AI (IA)</t>
  </si>
  <si>
    <t>Artificial intelligence; Machine learning; International trade; International business; Development economics political economics; Social studies of science and technology</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</si>
  <si>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</si>
  <si>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</si>
  <si>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</si>
  <si>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</si>
  <si>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</si>
  <si>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</si>
  <si>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</si>
  <si>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</si>
  <si>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</si>
  <si>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</si>
  <si>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</si>
  <si>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</si>
  <si>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</si>
  <si>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</si>
  <si>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</si>
  <si>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</si>
  <si>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</si>
  <si>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</si>
  <si>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</si>
  <si>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</si>
  <si>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</si>
  <si>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</si>
  <si>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</si>
  <si>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</si>
  <si>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</si>
  <si>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</si>
  <si>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</si>
  <si>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</si>
  <si>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</si>
  <si>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</si>
  <si>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</si>
  <si>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</si>
  <si>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</si>
  <si>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</si>
  <si>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</si>
  <si>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</si>
  <si>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</si>
  <si>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</si>
  <si>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</si>
  <si>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</si>
  <si>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</si>
  <si>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</si>
  <si>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</si>
  <si>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</si>
  <si>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</si>
  <si>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</si>
  <si>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</si>
  <si>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</si>
  <si>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</si>
  <si>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</si>
  <si>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</si>
  <si>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</si>
  <si>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</si>
  <si>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</si>
  <si>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</si>
  <si>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</si>
  <si>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</si>
  <si>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</si>
  <si>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</si>
  <si>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</si>
  <si>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</si>
  <si>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</si>
  <si>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</si>
  <si>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</si>
  <si>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</si>
  <si>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</si>
  <si>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</si>
  <si>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</si>
  <si>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</si>
  <si>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</si>
  <si>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</si>
  <si>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</si>
  <si>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</si>
  <si>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</si>
  <si>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</si>
  <si>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</si>
  <si>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</si>
  <si>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</si>
  <si>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</si>
  <si>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</si>
  <si>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</si>
  <si>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</si>
  <si>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</si>
  <si>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</si>
  <si>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</si>
  <si>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</si>
  <si>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</si>
  <si>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</si>
  <si>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</si>
  <si>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</si>
  <si>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</si>
  <si>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</si>
  <si>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</si>
  <si>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</si>
  <si>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</si>
  <si>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</si>
  <si>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</si>
  <si>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</si>
  <si>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</si>
  <si>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</si>
  <si>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</si>
  <si>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</si>
  <si>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</si>
  <si>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</si>
  <si>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</si>
  <si>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</si>
  <si>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</si>
  <si>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</si>
  <si>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</si>
  <si>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</si>
  <si>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</si>
  <si>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</si>
  <si>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</si>
  <si>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</si>
  <si>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</si>
  <si>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</si>
  <si>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</si>
  <si>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</si>
  <si>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</si>
  <si>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</si>
  <si>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</si>
  <si>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</si>
  <si>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</si>
  <si>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</si>
  <si>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</si>
  <si>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</si>
  <si>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</si>
  <si>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</si>
  <si>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</si>
  <si>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</si>
  <si>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</si>
  <si>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</si>
  <si>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</si>
  <si>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</si>
  <si>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</si>
  <si>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</si>
  <si>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</si>
  <si>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</si>
  <si>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</si>
  <si>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</si>
  <si>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</si>
  <si>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</si>
  <si>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</si>
  <si>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</si>
  <si>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</si>
  <si>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</si>
  <si>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</si>
  <si>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</si>
  <si>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</si>
  <si>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</si>
  <si>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</si>
  <si>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</si>
  <si>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</si>
  <si>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</si>
  <si>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</si>
  <si>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</si>
  <si>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</si>
  <si>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</si>
  <si>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</si>
  <si>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</si>
  <si>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</si>
  <si>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</si>
  <si>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</si>
  <si>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</si>
  <si>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</si>
  <si>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</si>
  <si>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</si>
  <si>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</si>
  <si>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</si>
  <si>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</si>
  <si>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</si>
  <si>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</si>
  <si>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</si>
  <si>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</si>
  <si>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</si>
  <si>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</si>
  <si>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</si>
  <si>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</si>
  <si>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</si>
  <si>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</si>
  <si>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</si>
  <si>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</si>
  <si>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</si>
  <si>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</si>
  <si>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Sociology; Psychology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</si>
  <si>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</si>
  <si>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</si>
  <si>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</si>
  <si>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</si>
  <si>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</si>
  <si>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</si>
  <si>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Sociology; Psychology; Ethics</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</si>
  <si>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</si>
  <si>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</si>
  <si>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</si>
  <si>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HORIZON-CL4-2027-04-HUMAN-07</t>
  </si>
  <si>
    <t>Facilitate the engagement of European stakeholders in international digital standardisation (CSA)</t>
  </si>
  <si>
    <t>Innovation, research &amp; development, entrepreneurship; Strategy, operation research; Management; International trade; International business; Social studies of science and technology</t>
  </si>
  <si>
    <t>Sociology; Anthropology; Education</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</si>
  <si>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</si>
  <si>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</si>
  <si>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</si>
  <si>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Climate, Energy and Mobility</t>
  </si>
  <si>
    <t>HORIZON-CL5-2026-07-D1-01</t>
  </si>
  <si>
    <t>Next generation climate monitoring and related capabilities</t>
  </si>
  <si>
    <t>Atmospheric chemistry; Climatology and climate change; Biogeochemistry; Earth observations from space/remote sensing; Earth system modelling and interactions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</si>
  <si>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</si>
  <si>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</si>
  <si>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</si>
  <si>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HORIZON-CL5-2026-07-D1-02</t>
  </si>
  <si>
    <t>Advancing European climate risk assessments</t>
  </si>
  <si>
    <t>Climatology and climate change; Geohazards; Earth system modelling and interactions; Sustainability sciences; Environmental and climate change</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</si>
  <si>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</si>
  <si>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</si>
  <si>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</si>
  <si>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HORIZON-CL5-2026-07-D1-03</t>
  </si>
  <si>
    <t>Economics of climate change and cost of inaction</t>
  </si>
  <si>
    <t>Macroeconomics; Development economics; Econometrics; Sustainability sciences; Environmental and climate change</t>
  </si>
  <si>
    <t>Economics; Sociology; Public Administration; Ethics</t>
  </si>
  <si>
    <t>SH1 Individuals, Markets and Organisations; SH7 Human Mobility, Environment, and Space</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</si>
  <si>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</si>
  <si>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</si>
  <si>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</si>
  <si>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HORIZON-CL5-2026-07-D1-04</t>
  </si>
  <si>
    <t>Fighting disinformation and effectively communicating on climate change</t>
  </si>
  <si>
    <t>Social attitudes and beliefs; Communication and information; Digital social research; Social studies of science and technology; Environmental and climate change</t>
  </si>
  <si>
    <t>Communication studies; Media studies; Behavioural studies; Gender studies</t>
  </si>
  <si>
    <t>SH3 The Social World and Its Interactions; SH7 Human Mobility, Environment, and Space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</si>
  <si>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</si>
  <si>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</si>
  <si>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</si>
  <si>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HORIZON-CL5-2026-07-D1-05</t>
  </si>
  <si>
    <t>Improving climate and weather models for Africa</t>
  </si>
  <si>
    <t>Meteorology, atmospheric physics and dynamics; Climatology and climate change; Earth observations from space/remote sensing; Hydrology; Earth system modelling and interactions</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</si>
  <si>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</si>
  <si>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</si>
  <si>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</si>
  <si>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HORIZON-CL5-2026-08-Two-Stage-D1-06</t>
  </si>
  <si>
    <t>Closing knowledge gaps on Earth system science in support of global and regional assessments and climate policy</t>
  </si>
  <si>
    <t>Climatology and climate change; Oceanography; Biogeochemistry; Cryosphere; Earth system modelling and interactions</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</si>
  <si>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</si>
  <si>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Stage 1: 15/04/2026; Stage 2: 08/10/2026</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</si>
  <si>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</si>
  <si>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</si>
  <si>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HORIZON-CL5-2027-01-D1-07</t>
  </si>
  <si>
    <t>Advancing understanding, modelling and prediction of extreme events in a changing climate</t>
  </si>
  <si>
    <t>Meteorology; Climatology and climate change; Hydrology; Geohazards; Earth system modelling and interactions</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</si>
  <si>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</si>
  <si>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</si>
  <si>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</si>
  <si>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HORIZON-CL5-2027-01-D1-08</t>
  </si>
  <si>
    <t>Palaeoclimate science for a better understanding of Earth system dynamics</t>
  </si>
  <si>
    <t>Climatology and climate change; Palaeoclimatology; Geochemistry; Sedimentology; Earth system modelling and interactions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</si>
  <si>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</si>
  <si>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</si>
  <si>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</si>
  <si>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HORIZON-CL5-2027-01-D1-09</t>
  </si>
  <si>
    <t>Assessing the performance of policy instruments to inform climate change mitigation action</t>
  </si>
  <si>
    <t>Econometrics; Political systems, governance; Social attitudes and beliefs; Environmental and climate change; Energy, transportation and mobility</t>
  </si>
  <si>
    <t>Economics; Political Science; Behavioural studies</t>
  </si>
  <si>
    <t>SH2 Institutions, Governance and Legal Systems; SH7 Human Mobility, Environment, and Space</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</si>
  <si>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</si>
  <si>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</si>
  <si>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</si>
  <si>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HORIZON-CL5-2027-01-D1-10</t>
  </si>
  <si>
    <t>Understanding and avoiding maladaptation to climate change</t>
  </si>
  <si>
    <t>Sustainability sciences; Environmental and climate change; Biodiversity; Biological aspects of environmental change; Theoretical developments and modelling</t>
  </si>
  <si>
    <t>Sociology; Economics</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</si>
  <si>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</si>
  <si>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</si>
  <si>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</si>
  <si>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</si>
  <si>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HORIZON-CL5-2027-01-D1-11</t>
  </si>
  <si>
    <t>Africa-EU CO-FUND action on climate</t>
  </si>
  <si>
    <t>Environmental and climate change; Climatology and climate change; International relations; Development economics; Earth system modelling and interactions</t>
  </si>
  <si>
    <t>SH7 Human Mobility, Environment, and Space; PE10 Earth System Science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</si>
  <si>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</si>
  <si>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</si>
  <si>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</si>
  <si>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</si>
  <si>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HORIZON-CL5-2027-01-D1-12</t>
  </si>
  <si>
    <t>Better understanding and attribution of land and ocean carbon sources and sinks</t>
  </si>
  <si>
    <t>Climatology and climate change; Oceanography; Biogeochemistry; Earth system modelling and interactions; Biological aspects of environmental change</t>
  </si>
  <si>
    <t>This topic focuses on quantifying the mechanisms that drive carbon sources and sinks in terrestrial and oceanic ecosystems. By reconciling different emission estimates, it aims to improve climate models and inform more accurate land-based mitigation strategies.</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</si>
  <si>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</si>
  <si>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</si>
  <si>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HORIZON-CL5-2027-01-D1-13</t>
  </si>
  <si>
    <t>Next generation scenarios for informing climate and sustainability transitions</t>
  </si>
  <si>
    <t>Sustainability sciences; Environmental and climate change; Climatology and climate change; Earth system modelling and interactions; Political systems, governance</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</si>
  <si>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</si>
  <si>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</si>
  <si>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</si>
  <si>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HORIZON-CL5-2026-09-D2-01</t>
  </si>
  <si>
    <t>Producing battery-grade materials for electrodes through sustainable processing and refining of raw materials or developing bio-based materials (BATT4EU Partnership)</t>
  </si>
  <si>
    <t>Structural properties of materials; Solid state materials chemistry; Biomaterials synthesis; Polymer chemistry; Chemical engineering, technical chemistry</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</si>
  <si>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</si>
  <si>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</si>
  <si>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</si>
  <si>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</si>
  <si>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HORIZON-CL5-2026-03-D2-02</t>
  </si>
  <si>
    <t>Development of direct recycling processes (BATT4EU Partnership)</t>
  </si>
  <si>
    <t>Environmental engineering; Nanomaterials engineering; Environment chemistry; Robotics; Production technology</t>
  </si>
  <si>
    <t>This research aims to create automated and efficient direct recycling methods for low-value and next-generation battery chemistries. The goal is to reduce import reliance and energy consumption by reintegrating high-purity materials directly back into manufacturing.</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</si>
  <si>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</si>
  <si>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</si>
  <si>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HORIZON-CL5-2026-10-D2-03</t>
  </si>
  <si>
    <t>Integrated Production and Product Development for Next-Generation Lithium-based Batteries for Mobility (BATT4EU and Made in Europe Partnerships)</t>
  </si>
  <si>
    <t>Engineering of composites and hybrid materials; Automotive and rail engineering; Aerospace engineering; Manufacturing engineering; Electrical energy production</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</si>
  <si>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</si>
  <si>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</si>
  <si>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</si>
  <si>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HORIZON-CL5-2026-09-D2-04</t>
  </si>
  <si>
    <t>Coordinated topic with India on recycling of EV batteries</t>
  </si>
  <si>
    <t>Environmental engineering; Environment chemistry; International relations; Automotive and rail engineering; Analytical chemistry</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</si>
  <si>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</si>
  <si>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</si>
  <si>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</si>
  <si>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HORIZON-CL5-2027-02-D2-05</t>
  </si>
  <si>
    <t>Improvement of Adaptability, Flexibility and Efficiency of Existing Recycling Processes (BATT4EU Partnership)</t>
  </si>
  <si>
    <t>Environmental engineering; Chemical engineering; Characterisation methods of materials; Analytical chemistry; Production technology</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</si>
  <si>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</si>
  <si>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</si>
  <si>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</si>
  <si>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HORIZON-CL5-2027-02-D2-06</t>
  </si>
  <si>
    <t>Sustainable and Competitive Cell Production Techniques for Lithium-ion And Sodium-ion Batteries (BATT4EU Partnership)</t>
  </si>
  <si>
    <t>Production technology; Manufacturing engineering; Computational methods for materials engineering; Simulation engineering and modelling; Engineering of alternative materials</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</si>
  <si>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</si>
  <si>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</si>
  <si>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</si>
  <si>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HORIZON-CL5-2027-04-Two-Stage-D2-07</t>
  </si>
  <si>
    <t>Novel approaches towards next-generation battery concepts, leveraging the enabling role of innovative advanced materials (BATT4EU and IAM4EU Partnerships)</t>
  </si>
  <si>
    <t>Engineering of alternative established or emergent materials; Semi-conducting and magnetic materials engineering; Energy processes engineering; Solid state materials chemistry; Structure of solids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</si>
  <si>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</si>
  <si>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Stage 1: 14/04/2027; Stage 2: 07/10/2027</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</si>
  <si>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</si>
  <si>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</si>
  <si>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HORIZON-CL5-2027-05-D2-08</t>
  </si>
  <si>
    <t>Demonstration for Long-duration Battery Energy Storage Systems (BATT4EU Partnership)</t>
  </si>
  <si>
    <t>Energy processes engineering; Electrical energy production; Electrochemistry; Chemical engineering; Electrical engineering</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</si>
  <si>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</si>
  <si>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</si>
  <si>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</si>
  <si>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HORIZON-CL5-2026-03-D3-01</t>
  </si>
  <si>
    <t>Targeting key value chain components for increasing the competitiveness of renewable energy technologies in Europe</t>
  </si>
  <si>
    <t>Energy processes engineering; Production technology; Environmental engineering; Innovation; Manufacturing engineering</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</si>
  <si>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</si>
  <si>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</si>
  <si>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</si>
  <si>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HORIZON-CL5-2026-04-Two-Stage-D3-02</t>
  </si>
  <si>
    <t>Next generation of renewable energy technologies</t>
  </si>
  <si>
    <t>Energy processes engineering; Heterogeneous catalysis; Mesoscopic quantum physics; Solid state materials chemistry; Environmental engineering</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</si>
  <si>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</si>
  <si>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Stage 1: 31/03/2026; Stage 2: 20/10/2026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</si>
  <si>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</si>
  <si>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</si>
  <si>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HORIZON-CL5-2026-09-D3-03</t>
  </si>
  <si>
    <t>Innovative technologies and solutions to improve wind energy systems supporting the Strategic Energy Technology (SET) Plan on wind</t>
  </si>
  <si>
    <t>Mechanical engineering; Naval/marine engineering; Control engineering; Manufacturing engineering; Engineering of composites</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</si>
  <si>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</si>
  <si>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</si>
  <si>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</si>
  <si>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HORIZON-CL5-2026-11-D3-04</t>
  </si>
  <si>
    <t>De-risking renewable fuel technologies through transnational pre-commercial procurement of renewable fuel industrial value chains</t>
  </si>
  <si>
    <t>Chemical engineering; Energy processes engineering; Production technology; Innovation; Political systems, governance</t>
  </si>
  <si>
    <t>PE8 Products and Processes Engineering; SH1 Individuals, Markets and Organisations</t>
  </si>
  <si>
    <t>This action uses joint public procurement to lower the financial risks associated with scaling up advanced biofuel and synthetic fuel production. It intends to establish robust industrial value chains that can provide commercial-scale renewable fuels by 2030.</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</si>
  <si>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</si>
  <si>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</si>
  <si>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HORIZON-CL5-2026-11-D3-05</t>
  </si>
  <si>
    <t>Demonstration of solid biofuel supply and conversion to high efficiency CHP from fully sustainable regional value chains</t>
  </si>
  <si>
    <t>Biomass production and utilisation, biofuels; Energy processes engineering; Chemical engineering; Environmental engineering; Sustainability sciences</t>
  </si>
  <si>
    <t>Sociology; Economics; Gender studies</t>
  </si>
  <si>
    <t>LS9 Biotechnology and Biosystems Engineering; PE8 Products and Processes Engineering</t>
  </si>
  <si>
    <t>This project demonstrates regional value chains that convert sustainable wood and agricultural waste into high-efficiency heat and power. The goal is to provide renewable energy for local industries while ensuring the protection of soil health and biodiversity.</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</si>
  <si>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</si>
  <si>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</si>
  <si>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HORIZON-CL5-2026-11-D3-06</t>
  </si>
  <si>
    <t>Resource assessment for deep sedimentary and basement reservoirs</t>
  </si>
  <si>
    <t>Geology; Physics of earth’s interior; Geochemistry; Earth system modelling; Civil engineering</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</si>
  <si>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</si>
  <si>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</si>
  <si>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</si>
  <si>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HORIZON-CL5-2027-02-D3-07</t>
  </si>
  <si>
    <t>Concentrated solar thermal systems for decarbonising industrial processes</t>
  </si>
  <si>
    <t>Energy processes engineering; Thermodynamics; Chemical engineering; Production technology; Manufacturing engineering</t>
  </si>
  <si>
    <t>This topic focuses on demonstrating concentrated solar thermal systems that provide high-temperature heat for industrial tasks like drying or melting. It aims to prove the economic viability of solar heat storage to reduce industrial reliance on fossil fuels.</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</si>
  <si>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</si>
  <si>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</si>
  <si>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HORIZON-CL5-2027-02-D3-08</t>
  </si>
  <si>
    <t>Co-funding Strategic Energy Technology (SET) Plan renewable fuel value chains at EU, national, regional, and local level</t>
  </si>
  <si>
    <t>Chemical engineering; Biomass production; Energy processes engineering; Political systems, governance; Sustainability sciences</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</si>
  <si>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</si>
  <si>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</si>
  <si>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</si>
  <si>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HORIZON-CL5-2027-02-D3-09</t>
  </si>
  <si>
    <t>Innovative technologies and solutions to improve wave and tidal energy systems</t>
  </si>
  <si>
    <t>Naval/marine engineering; Energy processes engineering; Mechanical engineering; Electrical energy production; Engineering of composites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</si>
  <si>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</si>
  <si>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</si>
  <si>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</si>
  <si>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HORIZON-CL5-2027-02-D3-10</t>
  </si>
  <si>
    <t>Renewable Energy Valleys in Africa to increase energy security and energy access in Africa</t>
  </si>
  <si>
    <t>Energy processes engineering; Energy, transportation and mobility; Development economics; Sustainability sciences; Electrical energy production</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</si>
  <si>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</si>
  <si>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</si>
  <si>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</si>
  <si>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HORIZON-CL5-2027-07-D3-11</t>
  </si>
  <si>
    <t>Demonstration of hydropower technologies for efficient and forward-looking refurbishment of existing hydropower plants</t>
  </si>
  <si>
    <t>Mechanical engineering; Civil engineering; Energy processes engineering; Electrical energy production; Hydrology</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</si>
  <si>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</si>
  <si>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</si>
  <si>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</si>
  <si>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HORIZON-CL5-2026-03-D3-12</t>
  </si>
  <si>
    <t>Long-lifetime and optimised use of materials in recyclable Ag and In-free Si PV modules (EUPI-PV Partnership)</t>
  </si>
  <si>
    <t>Physical properties of semiconductors; Engineering of alternative materials; Environmental engineering; Solid state materials chemistry; Structure of solids</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</si>
  <si>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</si>
  <si>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</si>
  <si>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</si>
  <si>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</si>
  <si>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HORIZON-CL5-2026-03-D3-13</t>
  </si>
  <si>
    <t>Industrial scale up and circularity pathway for IPV technologies (EUPI-PV Partnership)</t>
  </si>
  <si>
    <t>Manufacturing engineering; Environmental engineering; Engineering of composites; Nanomaterials engineering; Production technology</t>
  </si>
  <si>
    <t>The goal is to scale up manufacturing for integrated photovoltaics, such as solar panels built into buildings, cars, or floating systems. It aims to develop flexible pilot production lines and dedicated recycling processes for these non-standard solar products.</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</si>
  <si>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</si>
  <si>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</si>
  <si>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HORIZON-CL5-2026-11-D3-14</t>
  </si>
  <si>
    <t>Improved system design for innovative PV applications (EUPI-PV Partnership)</t>
  </si>
  <si>
    <t>Civil engineering; Naval/marine engineering; Electrical energy production; Earth system modelling; Biological aspects of environmental change</t>
  </si>
  <si>
    <t>This research demonstrates large-scale solar systems that coexist with agriculture or are installed in marine environments. It focuses on advanced system architectures that protect biodiversity and withstand climate impacts while lowering the cost of electricity.</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</si>
  <si>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</si>
  <si>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</si>
  <si>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HORIZON-CL5-2027-02-D3-15</t>
  </si>
  <si>
    <t>Production technologies for solar photovoltaics beyond the state-of-the-art (EUPI-PV Partnership)</t>
  </si>
  <si>
    <t>Manufacturing engineering; Production technology; Physical properties of semiconductors; Engineering of alternative materials; Artificial intelligence</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</si>
  <si>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</si>
  <si>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</si>
  <si>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</si>
  <si>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HORIZON-CL5-2027-07-D3-16</t>
  </si>
  <si>
    <t>Industrial processes and equipment for innovative, reliable and scalable tandem technologies (EUPI-PV Partnership)</t>
  </si>
  <si>
    <t>Manufacturing engineering; Engineering of polymers; Semi-conducting and magnetic materials; Physical properties of semiconductors; Thin films</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</si>
  <si>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</si>
  <si>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</si>
  <si>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</si>
  <si>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HORIZON-CL5-2027-07-D3-17</t>
  </si>
  <si>
    <t>PV based electrification of the economy: Designing &amp; optimising PV systems supporting industrial electrification and promoting participation in electricity markets (EUPI-PV Partnership)</t>
  </si>
  <si>
    <t>Electrical energy production; Electrical engineering; Energy processes engineering; Energy, transportation and mobility; Microeconomics</t>
  </si>
  <si>
    <t>This project designs high-voltage solar architectures to power industrial sites and participate in grid balancing services. It aims to improve the profitability of solar assets by managing negative electricity prices and supporting deep industrial electrification.</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</si>
  <si>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</si>
  <si>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</si>
  <si>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HORIZON-CL5-2026-03-D3-18</t>
  </si>
  <si>
    <t>Grid-forming capabilities for more resilient and RES-based electricity grids</t>
  </si>
  <si>
    <t>Electrical engineering; Control engineering; Electrical energy production; Simulation engineering; Artificial intelligence</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</si>
  <si>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</si>
  <si>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</si>
  <si>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</si>
  <si>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</si>
  <si>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HORIZON-CL5-2026-03-D3-19</t>
  </si>
  <si>
    <t>Affordable and sustainable primary equipment for Future-Ready multi-terminal HVDC Systems</t>
  </si>
  <si>
    <t>Electrical engineering; Electrical energy production; Energy processes engineering; Semi-conducting and magnetic materials; Environmental engineering</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</si>
  <si>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</si>
  <si>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</si>
  <si>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</si>
  <si>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HORIZON-CL5-2026-03-D3-20</t>
  </si>
  <si>
    <t>Hybrid AI-Control Framework for a next-generation grid-scale energy storage and system integration</t>
  </si>
  <si>
    <t>Artificial intelligence; Machine learning; Control engineering; Simulation engineering; Electrical energy production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</si>
  <si>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</si>
  <si>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</si>
  <si>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</si>
  <si>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HORIZON-CL5-2026-03-D3-21</t>
  </si>
  <si>
    <t>Novel solutions for off-grid storage of renewable energy for critical infrastructures</t>
  </si>
  <si>
    <t>Electrical energy production; Energy processes engineering; Electrochemistry; Electrical engineering; Engineering of alternative materials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</si>
  <si>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</si>
  <si>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</si>
  <si>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</si>
  <si>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HORIZON-CL5-2026-03-D3-22</t>
  </si>
  <si>
    <t>AI-driven forecasting algorithms for Grid and Consumer friendly Energy Sharing – Societal Readiness pilot</t>
  </si>
  <si>
    <t>Machine learning; Artificial intelligence; Social attitudes and beliefs; Energy, transportation and mobility; Econometrics, game theory</t>
  </si>
  <si>
    <t>This pilot project uses AI to optimize energy sharing and self-consumption within local communities to reduce grid burdens. It includes a strong focus on understanding societal needs to ensure that decentralized energy systems are trusted and inclusive.</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</si>
  <si>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</si>
  <si>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</si>
  <si>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HORIZON-CL5-2026-11-D3-23</t>
  </si>
  <si>
    <t>Data sharing to support the training and development of AI foundation models in the energy sector</t>
  </si>
  <si>
    <t>Databases; Machine learning; Natural language processing; Security, privacy, cryptology; Electrical energy production</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</si>
  <si>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</si>
  <si>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</si>
  <si>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</si>
  <si>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HORIZON-CL5-2027-02-D3-24</t>
  </si>
  <si>
    <t>Large scale operational validation and upscaling of state-of-the-art (Generative) AI tools and models powering a next generation digital energy system</t>
  </si>
  <si>
    <t>Machine learning; Natural language processing; Numerical and scientific computing; Control engineering; Electrical energy production</t>
  </si>
  <si>
    <t>The project will validate secure and energy-efficient generative AI tools for real-time grid monitoring and consumer empowerment. It aims to demonstrate a digital "spine" for the energy system that enables coordinated learning across decentralized edge nodes.</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</si>
  <si>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</si>
  <si>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</si>
  <si>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HORIZON-CL5-2027-07-D3-25</t>
  </si>
  <si>
    <t>Advanced TSO control rooms to enhance grid observability, stability and resilience</t>
  </si>
  <si>
    <t>Control engineering; Electrical energy production; Artificial intelligence; Security, privacy, cryptology; Simulation engineering</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</si>
  <si>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</si>
  <si>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</si>
  <si>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</si>
  <si>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HORIZON-CL5-2027-07-D3-26</t>
  </si>
  <si>
    <t>Advanced Distribution Management Systems (ADSM) for more efficient and flexible distribution grids</t>
  </si>
  <si>
    <t>Electrical energy production; Control engineering; Artificial intelligence; Networks (IoT); Security, privacy, cryptology</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</si>
  <si>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</si>
  <si>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</si>
  <si>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</si>
  <si>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HORIZON-CL5-2027-07-D3-27</t>
  </si>
  <si>
    <t>Integrated Approaches for Retrofitting Infrastructures with Innovative Energy Storage Technologies</t>
  </si>
  <si>
    <t>Energy processes engineering; Civil engineering; Environmental engineering; Electrical energy production; Engineering of alternative materials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</si>
  <si>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</si>
  <si>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</si>
  <si>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</si>
  <si>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HORIZON-CL5-2027-07-D3-28</t>
  </si>
  <si>
    <t>Community of practice - Data-Driven Decision-Making in Energy</t>
  </si>
  <si>
    <t>Communication and information; Energy, transportation and mobility; Databases; Numerical and scientific computing; Innovation</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</si>
  <si>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</si>
  <si>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</si>
  <si>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</si>
  <si>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HORIZON-CL5-2026-03-D3-29</t>
  </si>
  <si>
    <t>Pre-commercial appraisal for CO2 aquifer storage</t>
  </si>
  <si>
    <t>Environmental engineering; Hydrology; Geology; Geochemistry; Chemical engineering</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</si>
  <si>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</si>
  <si>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</si>
  <si>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</si>
  <si>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HORIZON-CL5-2027-02-D3-30</t>
  </si>
  <si>
    <t>Advancements in Direct Air Capture</t>
  </si>
  <si>
    <t>Environmental engineering; Chemical engineering; Environment chemistry; Porous materials engineering; Solid state materials chemistry</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</si>
  <si>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</si>
  <si>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</si>
  <si>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</si>
  <si>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HORIZON-CL5-2027-02-D3-31</t>
  </si>
  <si>
    <t>Support to the implementation of an EU policy framework for CO2 transport and storage infrastructure</t>
  </si>
  <si>
    <t>Political systems, governance; Sustainability sciences; Macroeconomics; Environmental engineering; Legal studies</t>
  </si>
  <si>
    <t>This action assists stakeholders in preparing for new European laws regarding CO2 transport networks and storage liability. It includes reviewing the technical feasibility and business models for repurposing existing pipelines for carbon transport.</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</si>
  <si>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</si>
  <si>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</si>
  <si>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HORIZON-CL5-2027-07-D3-32</t>
  </si>
  <si>
    <t>Delivery of industrial CCUS clusters – Societal Readiness pilot</t>
  </si>
  <si>
    <t>Environmental engineering; Chemical engineering; Social attitudes and beliefs; Sustainability sciences; Political systems, governance</t>
  </si>
  <si>
    <t>Sociology</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</si>
  <si>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</si>
  <si>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</si>
  <si>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</si>
  <si>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</si>
  <si>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HORIZON-CL5-2026-09-D4-01</t>
  </si>
  <si>
    <t>Researching the technical, social &amp; economic factors impacting the energy performance of Smart Buildings (Built4People Partnership)</t>
  </si>
  <si>
    <t>Sustainability sciences; Social attitudes and beliefs; Cities; Social aspects of health, ageing and society; Social structure, social mobility, social innovation; Environmental and climate change; Social studies of science and technology</t>
  </si>
  <si>
    <t>Sociology; Economics; Dempgraphy</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</si>
  <si>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</si>
  <si>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</si>
  <si>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</si>
  <si>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HORIZON-CL5-2026-09-D4-02</t>
  </si>
  <si>
    <t>Low disturbance prefabrication approaches for deep renovation of multi-storey buildings (Built4People Partnership)</t>
  </si>
  <si>
    <t>Civil engineering, architecture; Manufacturing engineering; Environmental engineering; Production technology; Sustainability sciences; Cities; Engineering of composites and hybrid materials</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</si>
  <si>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</si>
  <si>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</si>
  <si>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</si>
  <si>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HORIZON-CL5-2026-09-D4-03</t>
  </si>
  <si>
    <t>Advanced data platforms to integrate whole life carbon in building information tools, assessments, and certification (Built4People Partnership)</t>
  </si>
  <si>
    <t>Databases, web and information systems; Machine learning; Numerical and scientific computing; Environmental engineering; Sustainability sciences; Civil engineering; Security, privacy, cryptology</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</si>
  <si>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</si>
  <si>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</si>
  <si>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</si>
  <si>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HORIZON-CL5-2026-09-D4-04</t>
  </si>
  <si>
    <t>Validating policies and business models for affordable and sustainable housing (Built4People Partnership)</t>
  </si>
  <si>
    <t>Political systems, governance; Sustainability sciences; Microeconomics, industrial organisation; Social structure, social mobility, social innovation; Environmental and climate change; Innovation, research &amp; development; Legal studies</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</si>
  <si>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</si>
  <si>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</si>
  <si>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</si>
  <si>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HORIZON-CL5-2027-05-D4-05</t>
  </si>
  <si>
    <t>On-site robotic and automated techniques for building renovation and new construction</t>
  </si>
  <si>
    <t>Robotics; Manufacturing engineering; Production technology; Civil engineering; Artificial intelligence; Computational methods for materials engineering; Control engineering</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</si>
  <si>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</si>
  <si>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</si>
  <si>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</si>
  <si>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HORIZON-CL5-2027-05-D4-06</t>
  </si>
  <si>
    <t>Thermal energy optimisation and waste heat recovery of high energy demand IT rooms in buildings or small edge data centres</t>
  </si>
  <si>
    <t>Energy processes engineering; Thermodynamics; Electrical energy production, distribution, applications; Numerical and scientific computing; Environmental engineering; Simulation engineering and modelling; Operating and distributed systems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</si>
  <si>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</si>
  <si>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</si>
  <si>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</si>
  <si>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HORIZON-CL5-2027-05-D4-07</t>
  </si>
  <si>
    <t>Integrating circularity in LCA-based modelling frameworks for renovation of buildings (Built4People Partnership)</t>
  </si>
  <si>
    <t>Environmental engineering; Sustainability sciences; Civil engineering, architecture; Environment chemistry; Environmental and climate change; Biogeochemistry; Manufacturing engineering</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</si>
  <si>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</si>
  <si>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</si>
  <si>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</si>
  <si>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HORIZON-CL5-2026-09-D4-08</t>
  </si>
  <si>
    <t>Full-scale demonstration of heat upgrade solutions in industrial processes</t>
  </si>
  <si>
    <t>Energy processes engineering; Chemical engineering, technical chemistry; Thermodynamics; Production technology; Environmental engineering; Electrical energy production; Manufacturing engineering</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</si>
  <si>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</si>
  <si>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</si>
  <si>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</si>
  <si>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HORIZON-CL5-2027-05-D4-09</t>
  </si>
  <si>
    <t>Demonstration of industrial excess/waste heat conversion to mechanical or electrical power</t>
  </si>
  <si>
    <t>Energy processes engineering; Electrical energy production, distribution, applications; Thermodynamics; Chemical engineering, technical chemistry; Production technology; Control engineering; Mechanical engineering</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</si>
  <si>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</si>
  <si>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</si>
  <si>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</si>
  <si>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HORIZON-CL5-2026-05-D5-01</t>
  </si>
  <si>
    <t>Large-scale demonstration of Heavy-Duty Battery Electric Vehicles (HD BEV) towards long-haul logistics operations (2ZERO Partnership)</t>
  </si>
  <si>
    <t>Automotive and rail engineering; Electrical energy production; Energy, transportation and mobility; Manufacturing engineering; Artificial intelligence</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</si>
  <si>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</si>
  <si>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</si>
  <si>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</si>
  <si>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HORIZON-CL5-2026-05-D5-02</t>
  </si>
  <si>
    <t>Energy-efficient software-defined EVs (2ZERO Partnership)</t>
  </si>
  <si>
    <t>Software engineering; Automotive and rail engineering; Control engineering; Electrical engineering; Artificial intelligence</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</si>
  <si>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</si>
  <si>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</si>
  <si>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</si>
  <si>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HORIZON-CL5-2027-03-D5-03</t>
  </si>
  <si>
    <t>Data-driven circular economy for e-mobility ecosystem (2ZERO Partnership)</t>
  </si>
  <si>
    <t>Environmental engineering; Databases; Sustainability sciences; Computational materials engineering; Machine learning</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</si>
  <si>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</si>
  <si>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</si>
  <si>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</si>
  <si>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HORIZON-CL5-2027-03-D5-04</t>
  </si>
  <si>
    <t>Demonstration of zero emission coaches and buses in long distance operations (2ZERO Partnership)</t>
  </si>
  <si>
    <t>Automotive and rail engineering; Energy, transportation and mobility; Electrical energy production; Management; Simulation engineering</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</si>
  <si>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</si>
  <si>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</si>
  <si>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</si>
  <si>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HORIZON-CL5-2027-03-D5-05</t>
  </si>
  <si>
    <t>Higher Voltage, Megawatt Charging System compatible, modular powertrain for Heavy Duty Vehicles (HDV) (2ZERO Partnership)</t>
  </si>
  <si>
    <t>Electrical engineering; Automotive and rail engineering; Energy processes engineering; Semi-conducting materials engineering; Mechanical engineering</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</si>
  <si>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</si>
  <si>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</si>
  <si>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</si>
  <si>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HORIZON-CL5-2027-03-D5-06</t>
  </si>
  <si>
    <t>Fire prevention and mitigation for EVs in confined areas (2ZERO Partnership)</t>
  </si>
  <si>
    <t>Environmental engineering; Social attitudes and beliefs; Analytical chemistry; Environment chemistry; Communication</t>
  </si>
  <si>
    <t>Sociology; Anthropology; Psychology</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</si>
  <si>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</si>
  <si>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</si>
  <si>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</si>
  <si>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HORIZON-CL5-2026-05-D5-07</t>
  </si>
  <si>
    <t>AI-assisted digital aircraft design, manufacturing and MRO, towards a competitive aviation</t>
  </si>
  <si>
    <t>Aerospace engineering; Artificial intelligence; Machine learning; Manufacturing engineering; Simulation engineering</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</si>
  <si>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</si>
  <si>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</si>
  <si>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</si>
  <si>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HORIZON-CL5-2027-03-D5-08</t>
  </si>
  <si>
    <t>Sustainable aircraft circular design and additive manufacturing, towards a climate neutral aviation</t>
  </si>
  <si>
    <t>Aerospace engineering; Manufacturing engineering; Polymer chemistry; Engineering of composites and hybrid materials; Engineering of metals and alloys</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</si>
  <si>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</si>
  <si>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</si>
  <si>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</si>
  <si>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HORIZON-CL5-2027-04-Two-Stage-D5-09</t>
  </si>
  <si>
    <t>Noise reduction breakthroughs for new ultraefficient aircraft</t>
  </si>
  <si>
    <t>Aerospace engineering; Fluid mechanics; Mechanical and acoustical properties; Simulation engineering; Metamaterials engineering</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</si>
  <si>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</si>
  <si>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</si>
  <si>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</si>
  <si>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</si>
  <si>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HORIZON-CL5-2026-06-Two-Stage-D5-10</t>
  </si>
  <si>
    <t>Disruptive Technologies and Innovative Concepts for Energy Saving Onboard of long-distance ships (ZEWT Partnership)</t>
  </si>
  <si>
    <t>Naval/marine engineering; Energy processes engineering; Engineering of alternative materials; Fluid dynamics; Engineering of composites</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</si>
  <si>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</si>
  <si>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Stage 1: 14/04/2026; Stage 2: 08/10/2026</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</si>
  <si>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</si>
  <si>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</si>
  <si>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HORIZON-CL5-2026-05-D5-11</t>
  </si>
  <si>
    <t>Ports of the future (ZEWT Partnership)</t>
  </si>
  <si>
    <t>Naval/marine engineering; Digital social research; Sustainability sciences; Electrical energy production; Security</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</si>
  <si>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</si>
  <si>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</si>
  <si>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</si>
  <si>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HORIZON-CL5-2026-05-D5-12</t>
  </si>
  <si>
    <t>Shipyards of the future (ZEWT Partnership)</t>
  </si>
  <si>
    <t>Naval/marine engineering; Robotics; Artificial intelligence; Manufacturing engineering; Engineering of composites</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</si>
  <si>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</si>
  <si>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</si>
  <si>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</si>
  <si>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HORIZON-CL5-2026-05-D5-13</t>
  </si>
  <si>
    <t>Safety of renewable low and zero-carbon waterborne fuels in port areas: risk assessment, regulatory framework, and guidelines for safe bunkering, handling and storage (ZEWT partnership)</t>
  </si>
  <si>
    <t>Environmental engineering; Legal studies; Sustainability sciences; Environment chemistry; Communication</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</si>
  <si>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</si>
  <si>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</si>
  <si>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</si>
  <si>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HORIZON-CL5-2027-03-D5-14</t>
  </si>
  <si>
    <t>Onboard renewable energy solutions and energy saving measures to reduce the fuel consumption of ships by at least 55% (ZEWT Partnership)</t>
  </si>
  <si>
    <t>Naval/marine engineering; Energy processes engineering; Electrical energy production; Control engineering; Oceanography</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</si>
  <si>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</si>
  <si>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</si>
  <si>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</si>
  <si>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HORIZON-CL5-2027-03-D5-15</t>
  </si>
  <si>
    <t>Prospective evaluation of nuclear power potential for shipping (ZEWT Partnership)</t>
  </si>
  <si>
    <t>Nuclear physics; Naval/marine engineering; International relations; Sustainability sciences; Macroeconomics</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</si>
  <si>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</si>
  <si>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</si>
  <si>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</si>
  <si>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</si>
  <si>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HORIZON-CL5-2027-03-D5-16</t>
  </si>
  <si>
    <t>Autonomous vessels in short sea shipping and inland waterways</t>
  </si>
  <si>
    <t>Robotics; Artificial intelligence; Naval/marine engineering; Computer vision; Security</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</si>
  <si>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</si>
  <si>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</si>
  <si>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</si>
  <si>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HORIZON-CL5-2027-03-D5-17</t>
  </si>
  <si>
    <t>Innovative Solutions for mitigating the environmental impact of waterborne transport in marine and aquatic Ecosystems (ZEWT Partnership)</t>
  </si>
  <si>
    <t>Environmental engineering; Oceanography; Biological aspects of environmental change; Environment chemistry; Hydrology</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</si>
  <si>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</si>
  <si>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</si>
  <si>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</si>
  <si>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HORIZON-CL5-2027-03-D5-18</t>
  </si>
  <si>
    <t>Enhanced electric operation and battery durability (ZEWT Partnership)</t>
  </si>
  <si>
    <t>Electrical energy production; Electrochemistry; Naval/marine engineering; Control engineering; Energy processes</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</si>
  <si>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</si>
  <si>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</si>
  <si>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</si>
  <si>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HORIZON-CL5-2026-06-Two-Stage-D5-19</t>
  </si>
  <si>
    <t>Non-exhaust emissions in road and railway transport</t>
  </si>
  <si>
    <t>Environmental engineering; Automotive and rail engineering; Environment chemistry; Environmental health; Atmospheric chemistry</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</si>
  <si>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</si>
  <si>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</si>
  <si>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</si>
  <si>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</si>
  <si>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HORIZON-CL5-2027-03-D5-20</t>
  </si>
  <si>
    <t>Assessing the effect of airport operations on air quality and noise in nearby communities</t>
  </si>
  <si>
    <t>Atmospheric chemistry; Environmental health; Mechanical and acoustical properties; Earth observations; Social aspects of health</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</si>
  <si>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</si>
  <si>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</si>
  <si>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</si>
  <si>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HORIZON-CL5-2026-10-D6-01</t>
  </si>
  <si>
    <t>Flagship-pilot: large-scale demonstrations of CCAM (CCAM Partnership)</t>
  </si>
  <si>
    <t>Artificial intelligence; Computer vision; Control engineering; Networks; Automotive and rail engineering; Energy, transportation and mobility</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</si>
  <si>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</si>
  <si>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</si>
  <si>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</si>
  <si>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HORIZON-CL5-2026-10-D6-02</t>
  </si>
  <si>
    <t>Geopolitical competition and socioeconomic resilience in CCAM: an innovation and policy roadmap for EU leadership (CCAM Partnership)</t>
  </si>
  <si>
    <t>International trade; Innovation; International relations; Energy, transportation and mobility; Artificial intelligence</t>
  </si>
  <si>
    <t>Sociology; Economics; Business</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</si>
  <si>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</si>
  <si>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</si>
  <si>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</si>
  <si>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HORIZON-CL5-2026-10-D6-03</t>
  </si>
  <si>
    <t>Generative AI for smarter CCAM: enhancing perception, decision-making, and validation (CCAM Partnership)</t>
  </si>
  <si>
    <t>Artificial intelligence; Machine learning; Natural language processing; Computer vision; Control engineering</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</si>
  <si>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</si>
  <si>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</si>
  <si>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</si>
  <si>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HORIZON-CL5-2027-06-D6-04</t>
  </si>
  <si>
    <t>Holistic solutions for CCAM integration in critical scenarios (CCAM Partnership)</t>
  </si>
  <si>
    <t>Artificial intelligence; Control engineering; Networks; Automotive and rail engineering; Social attitudes and beliefs</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</si>
  <si>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</si>
  <si>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</si>
  <si>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</si>
  <si>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HORIZON-CL5-2027-06-D6-05</t>
  </si>
  <si>
    <t>European CCAM knowledge hub and tools for safe and scalable deployment (CCAM Partnership)</t>
  </si>
  <si>
    <t>Political systems, governance; Communication; Digital social research; Energy, transportation and mobility; Databases</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</si>
  <si>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</si>
  <si>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</si>
  <si>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</si>
  <si>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HORIZON-CL5-2026-10-D6-06</t>
  </si>
  <si>
    <t>Increasing competitiveness and resilience of multimodal freight transport and logistics for competitive supply chains</t>
  </si>
  <si>
    <t>Databases; Artificial intelligence; Networks; Automotive and rail engineering; Energy, transportation and mobility</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</si>
  <si>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</si>
  <si>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</si>
  <si>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</si>
  <si>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HORIZON-CL5-2026-10-D6-07</t>
  </si>
  <si>
    <t>Supporting sustainable and smart urban mobility in Europe (CIVITAS)</t>
  </si>
  <si>
    <t>Cities; Energy, transportation and mobility; Communication; Social studies of science and technology; Innovation</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</si>
  <si>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</si>
  <si>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</si>
  <si>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</si>
  <si>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HORIZON-CL5-2027-06-D6-08</t>
  </si>
  <si>
    <t>Enhancing Mobility for All: affordable, reliable, and accessible multimodal transport for inclusive rural and urban connectivity – Societal Readiness pilot</t>
  </si>
  <si>
    <t>Human, economic and social geography; Cities; Energy, transportation and mobility; Inequalities; Social integration</t>
  </si>
  <si>
    <t>Urban planning; Social and Behavioural studies</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</si>
  <si>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</si>
  <si>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</si>
  <si>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</si>
  <si>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HORIZON-CL5-2026-10-D6-09</t>
  </si>
  <si>
    <t>Road Safety and resilience of rural areas</t>
  </si>
  <si>
    <t>Automotive and rail engineering; Geohazards; Social attitudes and beliefs; Energy, transportation and mobility; Computer vision</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</si>
  <si>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</si>
  <si>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</si>
  <si>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</si>
  <si>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HORIZON-CL5-2026-10-D6-10</t>
  </si>
  <si>
    <t>Enhanced resilience in multimodal passenger transport through digital technologies and generative and discriminative AI</t>
  </si>
  <si>
    <t>Artificial intelligence; Machine learning; Numerical and scientific computing; Control engineering; Energy, transportation and mobility</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</si>
  <si>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</si>
  <si>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</si>
  <si>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</si>
  <si>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HORIZON-CL5-2027-06-D6-11</t>
  </si>
  <si>
    <t>Enhancing Resilience and Accuracy in Positioning, Navigation, and Timing (PNT) Systems and e-conspicuity solutions</t>
  </si>
  <si>
    <t>Communication systems; Networks (IoT); Aerospace engineering; Security; Artificial intelligence</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</si>
  <si>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</si>
  <si>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</si>
  <si>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</si>
  <si>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HORIZON-CL5-2027-06-D6-12</t>
  </si>
  <si>
    <t>Support for dissemination events in the field of Transport Research</t>
  </si>
  <si>
    <t>Communication; Innovation; Energy, transportation and mobility; Digital social research; Social studies of science and technology</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</si>
  <si>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</si>
  <si>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</si>
  <si>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</si>
  <si>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Food, Bioeconomy, Natural Resources, Agriculture and Environment</t>
  </si>
  <si>
    <t>HORIZON-CL6-2026-01-BIODIV-01</t>
  </si>
  <si>
    <t>Understanding and tackling the decline of insects</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</si>
  <si>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</si>
  <si>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</si>
  <si>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</si>
  <si>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</si>
  <si>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</si>
  <si>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HORIZON-CL6-2026-01-BIODIV-02</t>
  </si>
  <si>
    <t>Developing methods to assess the presence, functions and sensitivity of groundwater ecosystems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</si>
  <si>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</si>
  <si>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This initiative focuses on developing new methods to evaluate the health and sensitivity of groundwater ecosystems across Europe. It aims to provide scientific evidence for better protecting drinking water resources and managing the impacts of pollution.</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</si>
  <si>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</si>
  <si>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</si>
  <si>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HORIZON-CL6-2026-01-BIODIV-03</t>
  </si>
  <si>
    <t>Pushing the frontier of knowledge and conservation action for deep sea ecosystems</t>
  </si>
  <si>
    <t>Oceanography (physical, chemical, biological, geological); Marine biology and ecology; Biodiversity; Genomics; Earth observations from space/remote sensing; Biogeochemistry, biogeochemical cycles, environmental chemistry; Ecosystem and community ecology, macroecology</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</si>
  <si>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</si>
  <si>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</si>
  <si>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</si>
  <si>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</si>
  <si>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HORIZON-CL6-2026-01-BIODIV-04</t>
  </si>
  <si>
    <t>Ensuring continuous effectiveness of protected areas in conserving habitats and species while facing intensifying drivers of biodiversity loss</t>
  </si>
  <si>
    <t>Conservation biology; Biodiversity; Biological aspects of environmental change, including climate change; Sustainability sciences, environment and resources, ecosystem services; Environmental and climate change, societal impact and policy; Political systems, governance</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</si>
  <si>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</si>
  <si>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</si>
  <si>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</si>
  <si>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</si>
  <si>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HORIZON-CL6-2026-01-BIODIV-05</t>
  </si>
  <si>
    <t>Advancing integrated scenarios and prediction models for informing transition to a nature positive society</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</si>
  <si>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</si>
  <si>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</si>
  <si>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</si>
  <si>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</si>
  <si>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HORIZON-CL6-2026-01-BIODIV-06</t>
  </si>
  <si>
    <t>Boosting agrobiodiversity for food security and sustainable competitiveness</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</si>
  <si>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</si>
  <si>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</si>
  <si>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</si>
  <si>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</si>
  <si>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</si>
  <si>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HORIZON-CL6-2026-01-BIODIV-01-two-stage</t>
  </si>
  <si>
    <t>Living labs for co-creating solutions for the restoration of ecosystems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</si>
  <si>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</si>
  <si>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This initiative will set up living labs to co-create and test innovative site-specific solutions for restoring degraded ecosystems. The results will demonstrate the social and economic benefits of nature restoration to encourage wider adoption by practitioners.</t>
  </si>
  <si>
    <t>Stage 1: 16/04/2026; Stage 2: 23/09/2026</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</si>
  <si>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</si>
  <si>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</si>
  <si>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HORIZON-CL6-2026-01-BIODIV-02-two-stage</t>
  </si>
  <si>
    <t>Open topic: Uncovering the causes of specific species’ rapid decline and exploring actionable solutions</t>
  </si>
  <si>
    <t>Biodiversity; Conservation biology; Population biology, population dynamics, population genetics; Biological aspects of environmental change, including climate change; Ecophysiology, from organisms to ecosystems; Ecology and evolution of species interactions</t>
  </si>
  <si>
    <t>This open topic investigates the causes behind the rapid population decline of specific common or widespread wild species. It seeks to provide land and water managers with practical actions to prevent further loss and support species recovery.</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</si>
  <si>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</si>
  <si>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</si>
  <si>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HORIZON-CL6-2026-01-BIODIV-03-two-stage</t>
  </si>
  <si>
    <t>Unlocking the potential of citizen action for nature protection and restoration</t>
  </si>
  <si>
    <t>Social structure, social mobility, social innovation; Social attitudes and beliefs; Conservation biology; Biodiversity; Environmental and climate change, societal impact and policy; Personality and social cognition; Emotion</t>
  </si>
  <si>
    <t>Gender studies; Education; Behavioral studies</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</si>
  <si>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</si>
  <si>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</si>
  <si>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</si>
  <si>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</si>
  <si>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HORIZON-CL6-2026-01-BIODIV-04-two-stage</t>
  </si>
  <si>
    <t>Mainstreaming and scaling-up evidence-based Nature-Based Solutions towards a nature positive and climate-resilient economy</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</si>
  <si>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</si>
  <si>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This project focuses on providing robust evidence to help policymakers scale up nature-based solutions across various economic sectors. It aims to assess the long-term effectiveness of these solutions in building a nature-positive and climate-resilient economy.</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</si>
  <si>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</si>
  <si>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</si>
  <si>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HORIZON-CL6-2027-01-BIODIV-01</t>
  </si>
  <si>
    <t>Integrating Remote Sensing and in-situ observations of Biodiversity, towards a fully interoperable observation and data framework</t>
  </si>
  <si>
    <t>Earth observations from space/remote sensing; Computer vision, computer graphics, visualization; Machine learning, statistical data processing; Biodiversity; Earth system modelling and interactions; Bioinformatics and computational biology; Genomics</t>
  </si>
  <si>
    <t>This topic aims to integrate satellite data with ground observations to create a harmonized framework for monitoring biodiversity trends. It will use advanced artificial intelligence to help researchers and decision-makers better track the health of ecosystems.</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</si>
  <si>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</si>
  <si>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</si>
  <si>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HORIZON-CL6-2027-01-BIODIV-02</t>
  </si>
  <si>
    <t>Science-policy support to the implementation of EU and global biodiversity policies and strategies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</si>
  <si>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</si>
  <si>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</si>
  <si>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</si>
  <si>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</si>
  <si>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</si>
  <si>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HORIZON-CL6-2027-01-BIODIV-03</t>
  </si>
  <si>
    <t>Technical innovation to protect ecosystems and to scale up their restoration</t>
  </si>
  <si>
    <t>Environmental engineering; Robotics; Ecosystem and community ecology, macroecology; Manufacturing engineering and industrial design; Engineering of biomaterials, biomimetic, bioinspired and bio-enabled materials; Components and systems for applications</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</si>
  <si>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</si>
  <si>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</si>
  <si>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</si>
  <si>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</si>
  <si>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HORIZON-CL6-2027-01-BIODIV-04</t>
  </si>
  <si>
    <t>Living Labs for the eradication and/or management of invasive alien species</t>
  </si>
  <si>
    <t>Ecology and evolution of species interactions; Biodiversity; Conservation biology; Microbial ecology and evolution; Ecotoxicology, biohazards and biosafety; Machine learning, statistical data processing</t>
  </si>
  <si>
    <t>This project will establish living labs to develop and test innovative strategies for detecting and managing invasive alien species. It aims to protect native ecosystems from biodiversity loss and reduce the negative economic impacts of biological invasions.</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</si>
  <si>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</si>
  <si>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</si>
  <si>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HORIZON-CL6-2027-01-BIODIV-05</t>
  </si>
  <si>
    <t>Accelerating the transition to a nature positive economy: Integrating biodiversity into the private sector</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</si>
  <si>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</si>
  <si>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Economics; Finance</t>
  </si>
  <si>
    <t>This topic aims to help businesses integrate biodiversity considerations into their corporate strategies and financial reporting. It will pilot new financial mechanisms, such as nature credits, to strengthen the economic case for nature protection.</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</si>
  <si>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</si>
  <si>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</si>
  <si>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HORIZON-CL6-2027-01-BIODIV-06</t>
  </si>
  <si>
    <t>Living labs driving transformative change via knowledge integration and inclusive governance</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</si>
  <si>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</si>
  <si>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Sociology; Economics; Law</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</si>
  <si>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</si>
  <si>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</si>
  <si>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</si>
  <si>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HORIZON-CL6-2027-01-BIODIV-07</t>
  </si>
  <si>
    <t>Health of ecosystems and wild species, predictions and impacts on human health, in the face of existing and emerging stressors, from a One Health approach</t>
  </si>
  <si>
    <t>Public health and epidemiology; Environmental health, occupational medicine; Microbial ecology and evolution; Microbiome and host physiology; Biological aspects of environmental change, including climate change; Ecosystem and community ecology</t>
  </si>
  <si>
    <t>Economics; Anthropology</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</si>
  <si>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</si>
  <si>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</si>
  <si>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</si>
  <si>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</si>
  <si>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HORIZON-CL6-2027-01-BIODIV-08</t>
  </si>
  <si>
    <t>Fostering common farmland birds and mammals for resilient food production systems</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</si>
  <si>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</si>
  <si>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</si>
  <si>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</si>
  <si>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</si>
  <si>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</si>
  <si>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HORIZON-CL6-2027-01-BIODIV-09</t>
  </si>
  <si>
    <t>Enhancing the competitiveness of organic crop breeding: focus on intercropping adapted varieties</t>
  </si>
  <si>
    <t>Applied plant sciences, plant breeding, agroecology and soil biology; Genetics; Genomics; Plant pathology and pest resistance; Ecology and evolution of species interactions; Bioengineering for synthetic and chemical biology</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</si>
  <si>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</si>
  <si>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</si>
  <si>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</si>
  <si>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</si>
  <si>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HORIZON-CL6-2026-02-FARM2FORK-01</t>
  </si>
  <si>
    <t>Developing innovative phytosanitary treatments for regulated plant pests to support safe international trade</t>
  </si>
  <si>
    <t>Plant pathology and pest resistance; Applied plant sciences, plant breeding, agroecology and soil biology; Food biotechnology and bioengineering; Analytical chemistry; Ecology and evolution of species interactions</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</si>
  <si>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</si>
  <si>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</si>
  <si>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</si>
  <si>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</si>
  <si>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HORIZON-CL6-2026-02-FARM2FORK-02</t>
  </si>
  <si>
    <t>Tackling pesticide resistance: early detection, management strategies, and foresight</t>
  </si>
  <si>
    <t>Plant pathology and pest resistance; Applied plant sciences, plant breeding, agroecology and soil biology; Biodiversity; Bioinformatics and computational biology; Sustainability sciences, environment and resources, ecosystem services</t>
  </si>
  <si>
    <t>This research aims to understand and detect when pests become resistant to pesticides and find better ways to manage this problem. It will provide farmers with new, eco-friendly tools and strategies to keep crops healthy and farming sustainable.</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</si>
  <si>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</si>
  <si>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</si>
  <si>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HORIZON-CL6-2026-02-FARM2FORK-03</t>
  </si>
  <si>
    <t>Boosting the competitiveness of protein crops in Europe</t>
  </si>
  <si>
    <t>Applied plant sciences, plant breeding, agroecology and soil biology; Food biotechnology and bioengineering; Sustainability sciences, environment and resources, ecosystem services; Biodiversity; Innovation, research &amp; development, entrepreneurship</t>
  </si>
  <si>
    <t>This initiative seeks to make protein crops more competitive in Europe by developing better farming tools and creating new ways to use crop by-products. The goal is to help farmers become more profitable while reducing Europe's reliance on imported plant proteins.</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</si>
  <si>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</si>
  <si>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</si>
  <si>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HORIZON-CL6-2026-02-FARM2FORK-04</t>
  </si>
  <si>
    <t>Accelerating the development of breeding tools for perennial crops, specifically fruits and nuts</t>
  </si>
  <si>
    <t>Genetics; Genomics; Applied plant sciences, plant breeding, agroecology and soil biology; Plant pathology and pest resistance; Bioinformatics and computational biology</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</si>
  <si>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</si>
  <si>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</si>
  <si>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</si>
  <si>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</si>
  <si>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HORIZON-CL6-2026-02-FARM2FORK-05</t>
  </si>
  <si>
    <t>Boosting circularity and diversification strategies of terrestrial livestock production systems</t>
  </si>
  <si>
    <t>Veterinary and applied animal sciences; Sustainability sciences, environment and resources, ecosystem services; Biodiversity; Management; Operations management, international management; Food biotechnology and bioengineering</t>
  </si>
  <si>
    <t>This topic explores how livestock farming can become more circular and diverse by better using by-products and mixed farming systems. It aims to provide farmers with practical tools to improve their income while protecting local nature and resources.</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</si>
  <si>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</si>
  <si>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</si>
  <si>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HORIZON-CL6-2026-02-FARM2FORK-06</t>
  </si>
  <si>
    <t>Advanced innovative solutions for improved competitiveness and sustainability in controlled environment agriculture (CEA)</t>
  </si>
  <si>
    <t>Applied plant sciences, plant breeding, agroecology and soil biology; Artificial intelligence, autonomous agents, knowledge representation; Environmental engineering; Innovation, research &amp; development, entrepreneurship; Food biotechnology and bioengineering</t>
  </si>
  <si>
    <t>This project develops smart technology and AI tools to make indoor farming, like greenhouses and vertical farms, more efficient and sustainable. It aims to help farmers grow crops with less energy and water while ensuring food security and profit.</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</si>
  <si>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</si>
  <si>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</si>
  <si>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HORIZON-CL6-2026-02-FARM2FORK-07</t>
  </si>
  <si>
    <t>Strengthening the EU plant protection ecosystem for a future-proof agriculture</t>
  </si>
  <si>
    <t>Plant pathology and pest resistance; Applied plant sciences, plant breeding, agroecology and soil biology; Environmental and climate change, societal impact and policy; Political systems, governance; Communication and information, networks, media</t>
  </si>
  <si>
    <t>This call aims to build a strong network across Europe to help farmers transition to safer and more natural plant protection methods. It will provide clear advice to policymakers and sectors on how to handle the phase-out of harmful pesticides.</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</si>
  <si>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</si>
  <si>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</si>
  <si>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HORIZON-CL6-2026-02-FARM2FORK-08</t>
  </si>
  <si>
    <t>Advancing basic knowledge and developing tools for sustainable management of key migratory fish species</t>
  </si>
  <si>
    <t>Marine biology and ecology; Biodiversity; Conservation biology; Population biology, population dynamics, population genetics; Environmental and climate change, societal impact and policy; Oceanography</t>
  </si>
  <si>
    <t>This initiative focuses on studying the life cycles and threats to migratory fish to better manage and protect their natural habitats. It will provide authorities with new tools to restore fish populations and ensure healthy aquatic ecosystems.</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</si>
  <si>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</si>
  <si>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</si>
  <si>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HORIZON-CL6-2026-02-FARM2FORK-09</t>
  </si>
  <si>
    <t>Sustainable and healthy diets for cardiovascular diseases prevention with the support of digital applications</t>
  </si>
  <si>
    <t>Cardiovascular system and cardiovascular diseases; Microbiome and host physiology; Public health and epidemiology; Artificial intelligence, autonomous agents, knowledge representation; Food biotechnology and bioengineering</t>
  </si>
  <si>
    <t>Behavioural sciences; Psychology</t>
  </si>
  <si>
    <t>This project uses digital tools and AI to help people choose healthy diets that prevent heart disease by looking at their unique gut microbiomes. It aims to provide SMEs with the evidence they need to create new health apps and services for the public.</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</si>
  <si>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</si>
  <si>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</si>
  <si>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HORIZON-CL6-2026-02-FARM2FORK-10</t>
  </si>
  <si>
    <t>Sustainable and healthy diets based on health status and socio-economic risk factors of ageing population</t>
  </si>
  <si>
    <t>Public health and epidemiology; Health care, including care for the ageing population; Nutrition and exercise physiology; Social aspects of health, ageing and society; Marketing, consumer behaviour</t>
  </si>
  <si>
    <t>Economics; Psychology; Gender studies</t>
  </si>
  <si>
    <t>This call focuses on identifying the specific nutritional needs of people over 65 to help them live healthier, more active lives. It will create clear diet recommendations for caregivers and families to prevent malnutrition in the elderly.</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</si>
  <si>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</si>
  <si>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</si>
  <si>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HORIZON-CL6-2026-02-FARM2FORK-11</t>
  </si>
  <si>
    <t>Integrating a holistic perspective in microbiome research for resilient, competitive and sustainable food systems</t>
  </si>
  <si>
    <t>Microbiome and host physiology; Metagenomics; Food biotechnology and bioengineering; Numerical and scientific computing, computational modelling and simulation methods, bioinformatics; Innovative methods and modelling</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</si>
  <si>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</si>
  <si>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</si>
  <si>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</si>
  <si>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</si>
  <si>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HORIZON-CL6-2026-02-FARM2FORK-12</t>
  </si>
  <si>
    <t>Leveraging R&amp;I knowledge on microbiome</t>
  </si>
  <si>
    <t>Microbiome and host physiology; Public health and epidemiology; Sustainability sciences, environment and resources, ecosystem services; Political systems, governance; Communication and information, networks, media</t>
  </si>
  <si>
    <t>This project will set up a central information hub to coordinate microbiome research and help turn scientific findings into real-world food solutions. It will guide policymakers on how to use microbiome science to improve human health and the environment.</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</si>
  <si>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</si>
  <si>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</si>
  <si>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HORIZON-CL6-2026-02-FARM2FORK-13</t>
  </si>
  <si>
    <t>Boosting plant health and reducing losses on farm and during storage for sustainable growth in Africa (FNSSA)</t>
  </si>
  <si>
    <t>Plant pathology and pest resistance; Applied plant sciences, plant breeding, agroecology and soil biology; Sustainability sciences, environment and resources, ecosystem services; Biodiversity; International relations, global and transnational governance</t>
  </si>
  <si>
    <t>This call aims to help African farmers protect their crops from pests during growth and storage to reduce food loss and improve food security. It will develop affordable, eco-friendly methods that respect local knowledge and the environment.</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</si>
  <si>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</si>
  <si>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</si>
  <si>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HORIZON-CL6-2026-02-FARM2FORK-14</t>
  </si>
  <si>
    <t>Green Transition Food Processing Africa</t>
  </si>
  <si>
    <t>Food biotechnology and bioengineering; Microbial biotechnology and bioengineering; Innovation, research &amp; development, entrepreneurship; Sustainability sciences, environment and resources, ecosystem services; Manufacturing engineering and industrial design</t>
  </si>
  <si>
    <t>This initiative supports the development of better food processing and storage facilities in Africa for local crops like millet and cassava. It aims to reduce food waste and create new jobs for young entrepreneurs using sustainable technology.</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</si>
  <si>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</si>
  <si>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</si>
  <si>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HORIZON-CL6-2026-02-FARM2FORK-01-two-stage</t>
  </si>
  <si>
    <t>Open topic: Improving the competitiveness of the agricultural sector by enhancing the efficient and sustainable use of agricultural production factors</t>
  </si>
  <si>
    <t>Applied plant sciences, plant breeding, agroecology and soil biology; Environmental engineering; Innovation, research &amp; development, entrepreneurship; Sustainability sciences, environment and resources, ecosystem services; Biodiversity</t>
  </si>
  <si>
    <t>Behavioural sciences</t>
  </si>
  <si>
    <t>This open topic seeks to develop and test new machinery and farming practices that use resources like water and energy more efficiently. It will provide sustainable business models to help these innovations reach the European market and support farmers.</t>
  </si>
  <si>
    <t>Stage 1: 14/04/2026; Stage 2: 15/09/2026</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</si>
  <si>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</si>
  <si>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</si>
  <si>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HORIZON-CL6-2026-02-FARM2FORK-02-two-stage</t>
  </si>
  <si>
    <t>Open topic: Boosting organic farming for a competitive, sustainable and resilient farming sector</t>
  </si>
  <si>
    <t>Applied plant sciences, plant breeding, agroecology and soil biology; Sustainability sciences, environment and resources, ecosystem services; Biodiversity; Management; Operations management, international management; Social structure, social mobility, social innovation</t>
  </si>
  <si>
    <t>This project aims to find new, practical ways to overcome the challenges of organic farming to make the sector more competitive and resilient. It will set up test sites across Europe to share best practices and evidence for future farming policies.</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</si>
  <si>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</si>
  <si>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</si>
  <si>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HORIZON-CL6-2027-02-FARM2FORK-01</t>
  </si>
  <si>
    <t>Increasing the resilience of agriculture in water and nutrient-scarce environments through digital innovations</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</si>
  <si>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</si>
  <si>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Law; Sociology; Anthropology</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</si>
  <si>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</si>
  <si>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</si>
  <si>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</si>
  <si>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</si>
  <si>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HORIZON-CL6-2027-02-FARM2FORK-02</t>
  </si>
  <si>
    <t>Increasing mitigation of GHG emissions and feed efficiency through feed additives</t>
  </si>
  <si>
    <t>Veterinary and applied animal sciences; Climatology and climate change; Sustainability sciences, environment and resources, ecosystem services; Food biotechnology and bioengineering; Marketing, consumer behaviour</t>
  </si>
  <si>
    <t>This initiative aims to test and develop new feed additives that can reduce methane emissions from livestock while keeping animals healthy. It will provide farmers and advisors with the knowledge and tools needed to adopt these greener practices.</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</si>
  <si>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</si>
  <si>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</si>
  <si>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HORIZON-CL6-2027-02-FARM2FORK-03</t>
  </si>
  <si>
    <t>Microbiome for terrestrial livestock sustainability and health within a One Health approach</t>
  </si>
  <si>
    <t>Microbiome and host physiology; Veterinary and applied animal sciences; Public health and epidemiology; Microbial ecology and evolution; Innovative methods and modelling</t>
  </si>
  <si>
    <t>This project studies how the microbiomes of livestock affect animal health and the surrounding environment under a "One Health" approach. It aims to find ways to reduce the need for antibiotics while making farming more sustainable and productive.</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</si>
  <si>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</si>
  <si>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</si>
  <si>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HORIZON-CL6-2027-02-FARM2FORK-04</t>
  </si>
  <si>
    <t>Improving understanding of the contribution of the organic farming sector to sustainability</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</si>
  <si>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</si>
  <si>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</si>
  <si>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</si>
  <si>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</si>
  <si>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</si>
  <si>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HORIZON-CL6-2027-02-FARM2FORK-05</t>
  </si>
  <si>
    <t>Enhancing farmer's profitability and resilience through innovations for diversified crops and value chains</t>
  </si>
  <si>
    <t>Applied plant sciences, plant breeding, agroecology and soil biology; Sustainability sciences, environment and resources, ecosystem services; Innovation, research &amp; development, entrepreneurship; Biodiversity; Management</t>
  </si>
  <si>
    <t>This initiative seeks to help farmers switch to more diverse cropping systems to improve their profits and resilience against economic or climate shocks. It will showcase new business models and provide practical materials to help farmers make the transition.</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</si>
  <si>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</si>
  <si>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</si>
  <si>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HORIZON-CL6-2027-02-FARM2FORK-06</t>
  </si>
  <si>
    <t>Unleashing the potential of sustainable small-scale aquatic food production and recreational fisheries for prosperous local communities</t>
  </si>
  <si>
    <t>Marine biology and ecology; Sustainability sciences, environment and resources, ecosystem services; Management; Operations management, international management; Biodiversity; Artificial intelligence, autonomous agents, knowledge representation</t>
  </si>
  <si>
    <t>This project aims to unlock the potential of small-scale fisheries and aquaculture to support local jobs and provide healthy, sustainable food. It will develop new management tools and business models that empower local communities and protect nature.</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</si>
  <si>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</si>
  <si>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</si>
  <si>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HORIZON-CL6-2027-02-FARM2FORK-07</t>
  </si>
  <si>
    <t>Towards commercialization of food systems microbiome solutions</t>
  </si>
  <si>
    <t>Food biotechnology and bioengineering; Microbial biotechnology and bioengineering; Innovation, research &amp; development, entrepreneurship; Management; Operations management, international management; Sustainability sciences, environment and resources, ecosystem services</t>
  </si>
  <si>
    <t>This call focuses on overcoming the barriers to bringing new microbiome-based food solutions, like natural fertilizers or food safety tools, to the market. It will provide business models and standards to help SMEs and startups succeed in this sector.</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</si>
  <si>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</si>
  <si>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</si>
  <si>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HORIZON-CL6-2027-02-FARM2FORK-08</t>
  </si>
  <si>
    <t>AI-powered foodome characterization</t>
  </si>
  <si>
    <t>Artificial intelligence, autonomous agents, knowledge representation; Food biotechnology and bioengineering; Analytical chemistry; Innovative methods and modelling; Biochemistry</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</si>
  <si>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</si>
  <si>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</si>
  <si>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</si>
  <si>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</si>
  <si>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HORIZON-CL6-2027-02-FARM2FORK-09</t>
  </si>
  <si>
    <t>African Union – European Union Partnership on Food and Nutrition Security and Sustainable Agriculture (FNSSA)</t>
  </si>
  <si>
    <t>International relations, global and transnational governance; Sustainability sciences, environment and resources, ecosystem services; Political systems, governance; Innovation, research &amp; development, entrepreneurship; Communication and information, networks, media</t>
  </si>
  <si>
    <t>This project strengthens the partnership between the EU and the African Union to improve food security and sustainable farming practices. It will provide a platform for funders to support new agricultural innovations and help startups grow in both regions.</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</si>
  <si>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</si>
  <si>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</si>
  <si>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HORIZON-CL6-2027-02-FARM2FORK-01-two-stage</t>
  </si>
  <si>
    <t>Strengthening plant health: addressing emerging plant pest risks</t>
  </si>
  <si>
    <t>Plant pathology and pest resistance; Applied plant sciences, plant breeding, agroecology and soil biology; Climatology and climate change; Biodiversity; Environmental and climate change, societal impact and policy</t>
  </si>
  <si>
    <t>This research focuses on understanding why new plant pests are emerging and finding safe, effective ways to prevent their spread. It will provide farmers and forest owners with rapid detection tools and eco-friendly management strategies.</t>
  </si>
  <si>
    <t>Stage 1: 08/04/2027; Stage 2: 14/09/2027</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</si>
  <si>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</si>
  <si>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</si>
  <si>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HORIZON-CL6-2027-02-FARM2FORK-02-two-stage</t>
  </si>
  <si>
    <t>Optimising the water-nutrient-energy nexus for sustainable and climate smart agriculture in Africa (FNSSA)</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</si>
  <si>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</si>
  <si>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Economics; Sociology; Anthropology</t>
  </si>
  <si>
    <t>This initiative helps smallholder farmers in Africa better manage the link between water, nutrients, and energy to make their farms more productive. It will develop new tools and circular practices to create sustainable business opportunities in rural areas.</t>
  </si>
  <si>
    <t>Stage 1: 08/04/2027; Stage 2: 14/09/202</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</si>
  <si>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</si>
  <si>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</si>
  <si>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HORIZON-CL6-2026-01-CIRCBIO-01</t>
  </si>
  <si>
    <t>Improving circularity of multilayer flexible plastic food contact packaging</t>
  </si>
  <si>
    <t>Environmental engineering; Engineering of polymers and plastics; Engineering of composites and hybrid materials; Food biotechnology and bioengineering; Sustainability sciences; Nanomaterials engineering</t>
  </si>
  <si>
    <t>This project aims to improve the recycling of complex plastic food packaging by developing new technologies for sorting and decontamination. The goal is to produce high-quality recycled plastic that is safe enough to be reused in new food packaging.</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</si>
  <si>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</si>
  <si>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</si>
  <si>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HORIZON-CL6-2026-01-CIRCBIO-02</t>
  </si>
  <si>
    <t>Advancing recycling technologies for mixed post-consumer textiles waste from blended products</t>
  </si>
  <si>
    <t>Environmental engineering; Engineering of polymers and plastics; Polymer chemistry; Environmental biotechnology and bioengineering; Sustainability sciences; Engineering of composites</t>
  </si>
  <si>
    <t>This initiative focuses on developing new ways to recycle clothing and home textiles made from mixtures of different fibers. By improving sorting and processing, the project seeks to turn old textiles into high-quality new fibers for the manufacturing industry.</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</si>
  <si>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</si>
  <si>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</si>
  <si>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HORIZON-CL6-2026-01-CIRCBIO-03</t>
  </si>
  <si>
    <t>Advanced recovery of critical raw materials from Waste from Electrical and Electronic Equipment (WEEE)</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</si>
  <si>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</si>
  <si>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</si>
  <si>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</si>
  <si>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</si>
  <si>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HORIZON-CL6-2026-01-CIRCBIO-04</t>
  </si>
  <si>
    <t>Demonstrating and deploying innovative collection, sorting-for-reuse and repair systems for textiles at city/region level (Circular Cities and Regions Initiative topic)</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</si>
  <si>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</si>
  <si>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This project supports cities in setting up better systems for collecting, repairing, and reusing old clothes and textiles. It involves local businesses and social enterprises to create new jobs while reducing textile waste and consumption.</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</si>
  <si>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</si>
  <si>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</si>
  <si>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HORIZON-CL6-2026-01-CIRCBIO-05</t>
  </si>
  <si>
    <t>Understanding biomass flows in Europe</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</si>
  <si>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</si>
  <si>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</si>
  <si>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</si>
  <si>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</si>
  <si>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HORIZON-CL6-2026-01-CIRCBIO-06</t>
  </si>
  <si>
    <t>Bioeconomy policy support hub for Member States, regions and sectors</t>
  </si>
  <si>
    <t>Political systems, governance; Sustainability sciences, environment and resources, ecosystem services; Management; Operations management, international management; Communication and information, networks, media; Social structure, social mobility, social innovation</t>
  </si>
  <si>
    <t>This project will establish a central hub to provide expert advice and training to European regions on how to build sustainable bioeconomies. It aims to help governments coordinate their policies to better use biological resources and support local innovation.</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</si>
  <si>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</si>
  <si>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</si>
  <si>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HORIZON-CL6-2026-01-CIRCBIO-07</t>
  </si>
  <si>
    <t>Advancing the European bio-based innovation enabled by biotechnology and biomanufacturing concepts</t>
  </si>
  <si>
    <t>Bioengineering for synthetic and chemical biology; Synthetic biology; Bioinformatics and computational biology; Gene editing; Microbiome and host physiology; Machine learning, statistical data processing</t>
  </si>
  <si>
    <t>This research focuses on using advanced genetic and biological tools to create new bio-based products and manufacturing processes. The goal is to develop sustainable alternatives to fossil-based chemicals while improving resource efficiency and reducing waste.</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</si>
  <si>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</si>
  <si>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</si>
  <si>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HORIZON-CL6-2026-01-CIRCBIO-08</t>
  </si>
  <si>
    <t>Supporting pre-normative research for standardization of the bio-based products</t>
  </si>
  <si>
    <t>Environmental engineering; Sustainability sciences, environment and resources, ecosystem services; Innovation, research &amp; development, entrepreneurship; Manufacturing engineering and industrial design; Engineering of alternative established or emergent materials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</si>
  <si>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</si>
  <si>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</si>
  <si>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</si>
  <si>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HORIZON-CL6-2026-01-CIRCBIO-09</t>
  </si>
  <si>
    <t>Balancing food security, bioeconomy, climate and biodiversity objectives to unlock sustainable value chains</t>
  </si>
  <si>
    <t>Sustainability sciences, environment and resources, ecosystem services; Management; Applied plant sciences, plant breeding, agroecology and soil biology; Finance; Financial markets; Macroeconomics; Land use and planning</t>
  </si>
  <si>
    <t>This research explores how to use agricultural land for bio-based products without threatening food supplies or harming nature. It will develop new business models that allow farmers to diversify their income while protecting the climate and biodiversity.</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</si>
  <si>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</si>
  <si>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</si>
  <si>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HORIZON-CL6-2026-01-CIRCBIO-10</t>
  </si>
  <si>
    <t>Bio-based innovation in society: supporting the sustainable way of living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</si>
  <si>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</si>
  <si>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This project seeks to understand how the public perceives biological innovations and to design sustainable products that people will actually want to use. The research will help create new social and economic models that support a healthier, bio-based lifestyle.</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</si>
  <si>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</si>
  <si>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</si>
  <si>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HORIZON-CL6-2026-01-CIRCBIO-11</t>
  </si>
  <si>
    <t>Harnessing the unique properties of marine organisms to deliver sustainable blue bio-based products</t>
  </si>
  <si>
    <t>Marine biotechnology and bioengineering; Marine biology and ecology; Biochemistry; Synthetic biology; Bioinformatics and computational biology; Bioengineering</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</si>
  <si>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</si>
  <si>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</si>
  <si>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</si>
  <si>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</si>
  <si>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HORIZON-CL6-2026-01-CIRCBIO-01-two-stage</t>
  </si>
  <si>
    <t>Deploying circular systemic solutions through living labs in cities and regions (Circular Cities and Regions Initiative topic)</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</si>
  <si>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</si>
  <si>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Economics; Political Science; Sociology; Psychology; Gender studies</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</si>
  <si>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</si>
  <si>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</si>
  <si>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</si>
  <si>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HORIZON-CL6-2026-01-CIRCBIO-02-two-stage</t>
  </si>
  <si>
    <t>Open topic: Using the Circular Cities and Regions Initiative to strengthen urban manufacturing in support of the Clean Industrial Deal</t>
  </si>
  <si>
    <t>Cities; Urban, regional and rural studies; Manufacturing engineering and industrial design; Environmental engineering; Innovation, research &amp; development, entrepreneurship; Social structure, social mobility, social innovation; Management</t>
  </si>
  <si>
    <t>This open topic aims to help manufacturers located in cities transition to cleaner and more efficient production methods. It supports the return of local manufacturing by providing tools to reduce material use and waste in urban environments.</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</si>
  <si>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</si>
  <si>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</si>
  <si>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HORIZON-CL6-2027-01-CIRCBIO-01</t>
  </si>
  <si>
    <t>Enhancing ecodesign and circularity of consumer electronics</t>
  </si>
  <si>
    <t>Environmental engineering; Semi-conducting and magnetic materials engineering; Sustainability sciences; Manufacturing engineering and industrial design; Marketing, consumer behaviour; Artificial intelligence</t>
  </si>
  <si>
    <t>This project focuses on designing consumer electronics that are easier to repair, upgrade, and recycle. It seeks to provide consumers with longer-lasting products while helping the industry recover valuable raw materials from electronic waste.</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</si>
  <si>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</si>
  <si>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</si>
  <si>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HORIZON-CL6-2027-01-CIRCBIO-02</t>
  </si>
  <si>
    <t>Enhancing ecodesign and circularity of construction products</t>
  </si>
  <si>
    <t>Civil engineering, architecture; Environmental engineering; Engineering of biomaterials, biomimetic, bioinspired materials; Sustainability sciences; Manufacturing engineering; Architecture, design</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</si>
  <si>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</si>
  <si>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</si>
  <si>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</si>
  <si>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HORIZON-CL6-2027-01-CIRCBIO-03</t>
  </si>
  <si>
    <t>Developing novel recycling technologies for complex plastic materials applying biotech solutions</t>
  </si>
  <si>
    <t>Environmental biotechnology and bioengineering; Microbial biotechnology and bioengineering; Polymer chemistry; Environmental engineering; Biochemistry; Engineering of polymers and plastics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</si>
  <si>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</si>
  <si>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</si>
  <si>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</si>
  <si>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</si>
  <si>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HORIZON-CL6-2027-01-CIRCBIO-04</t>
  </si>
  <si>
    <t>Capacity building for extending product lifecycles through repair and refurbishment</t>
  </si>
  <si>
    <t>Social aspects of teaching and learning; Social structure, social mobility, social innovation; Management; Operations management; Sustainability sciences; Social attitudes and beliefs; Entrepreneurship</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</si>
  <si>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</si>
  <si>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</si>
  <si>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</si>
  <si>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HORIZON-CL6-2027-01-CIRCBIO-05</t>
  </si>
  <si>
    <t>Innovative circular solutions for end-of-life footwear through collection, sorting and recycling</t>
  </si>
  <si>
    <t>Environmental engineering; Sustainability sciences, environment and resources, ecosystem services; Marketing, consumer behaviour; Engineering of polymers and plastics; Engineering of composites and hybrid materials; Artificial intelligence</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</si>
  <si>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</si>
  <si>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</si>
  <si>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</si>
  <si>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</si>
  <si>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HORIZON-CL6-2027-01-CIRCBIO-06</t>
  </si>
  <si>
    <t>Towards a Europe of Bioeconomy Places</t>
  </si>
  <si>
    <t>Sustainability sciences, environment and resources, ecosystem services; Cities; Innovation, research &amp; development, entrepreneurship; Political systems, governance; Social innovation; Biomass production and utilisation</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</si>
  <si>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</si>
  <si>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</si>
  <si>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</si>
  <si>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HORIZON-CL6-2027-01-CIRCBIO-07</t>
  </si>
  <si>
    <t>Improving biomass flows for a sustainable and circular bioeconomy</t>
  </si>
  <si>
    <t>Sustainability sciences; Biomass production and utilisation; Environmental engineering; Management; Operations management; Artificial intelligence; Ecosystem and community ecology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</si>
  <si>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</si>
  <si>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</si>
  <si>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</si>
  <si>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HORIZON-CL6-2027-01-CIRCBIO-08</t>
  </si>
  <si>
    <t>Biotechnology application for CCU</t>
  </si>
  <si>
    <t>Bioengineering for synthetic and chemical biology; Synthetic biology; Microbial biotechnology and bioengineering; Environmental engineering; Environment chemistry; Entrepreneurship</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</si>
  <si>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</si>
  <si>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</si>
  <si>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</si>
  <si>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HORIZON-CL6-2027-01-CIRCBIO-09</t>
  </si>
  <si>
    <t>Increasing the circularity of bio-based sector: upcycling and recycling for higher value and environmental benefits</t>
  </si>
  <si>
    <t>Bioengineering for synthetic and chemical biology; Environmental engineering; Sustainability sciences; Engineering of biomaterials; Management; Engineering of alternative materials</t>
  </si>
  <si>
    <t>Education; Law; Economics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</si>
  <si>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</si>
  <si>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</si>
  <si>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</si>
  <si>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</si>
  <si>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HORIZON-CL6-2027-01-CIRCBIO-10</t>
  </si>
  <si>
    <t>Strengthening forest research for the support of Ukraine</t>
  </si>
  <si>
    <t>Terrestrial ecology, land cover change; International relations, global governance; Political systems, governance; Sustainability sciences; Conservation biology; Social aspects of teaching and learning</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</si>
  <si>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</si>
  <si>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</si>
  <si>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</si>
  <si>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HORIZON-CL6-2027-01-CIRCBIO-01-two-stage</t>
  </si>
  <si>
    <t>Cities; Urban, regional and rural studies; Sustainability sciences; Social structure, social mobility, social innovation; Political systems, governance; Entrepreneurship; Environmental engineering</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</si>
  <si>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</si>
  <si>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Stage 1: 08/04/2027; Stage 2: 16/09/2027</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</si>
  <si>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</si>
  <si>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</si>
  <si>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HORIZON-CL6-2027-01-CIRCBIO-02-two-stage</t>
  </si>
  <si>
    <t>Cities; Urban, regional and rural studies; Manufacturing engineering and industrial design; Environmental engineering; Entrepreneurship; Social innovation; Management</t>
  </si>
  <si>
    <t>This open topic aims to help urban manufacturers modernize their businesses by adopting clean and circular practices. It supports the development of lead markets for sustainable products while making urban centers more resilient and less polluted.</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</si>
  <si>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</si>
  <si>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</si>
  <si>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HORIZON-CL6-2026-01-ZEROPOLLUTION-01</t>
  </si>
  <si>
    <t>Toward a comprehensive assessment of the disturbance of marine ecosystems by anthropogenic underwater noise</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</si>
  <si>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</si>
  <si>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</si>
  <si>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</si>
  <si>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</si>
  <si>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HORIZON-CL6-2026-01-ZEROPOLLUTION-02</t>
  </si>
  <si>
    <t>Bioremediation of Ukraine’s ecosystems contaminated by conflicts</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</si>
  <si>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</si>
  <si>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Sociology; Anthropology</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</si>
  <si>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</si>
  <si>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</si>
  <si>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</si>
  <si>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HORIZON-CL6-2026-01-ZEROPOLLUTION-03</t>
  </si>
  <si>
    <t>Developing managed aquifer recharge techniques (MAR) in a rural context</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</si>
  <si>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</si>
  <si>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</si>
  <si>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</si>
  <si>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</si>
  <si>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HORIZON-CL6-2026-01-ZEROPOLLUTION-01-two-stage</t>
  </si>
  <si>
    <t>Decontaminate and bioremediate aquatic pollution</t>
  </si>
  <si>
    <t>Environmental biotechnology and bioengineering; Microbial biotechnology and bioengineering; Environmental engineering; Biogeochemistry, biogeochemical cycles, environmental chemistry; Ecotoxicology, biohazards and biosafety; Marine biology and ecology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</si>
  <si>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</si>
  <si>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</si>
  <si>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</si>
  <si>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HORIZON-CL6-2027-01-ZEROPOLLUTION-01</t>
  </si>
  <si>
    <t>Replacing hazardous substances in biocidal products</t>
  </si>
  <si>
    <t>Ecotoxicology, biohazards and biosafety; Environmental biotechnology and bioengineering; Chemical biology; Environment chemistry; Sustainability sciences, environment and resources, ecosystem services; Biodiversity</t>
  </si>
  <si>
    <t>LS9 Biotechnology and Biosystems Engineering; PE4 Physical and Analytical Chemical Sciences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</si>
  <si>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</si>
  <si>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</si>
  <si>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</si>
  <si>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HORIZON-CL6-2027-01-ZEROPOLLUTION-02</t>
  </si>
  <si>
    <t>Developing effective air quality planning strategies through innovative multi-scale modelling</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</si>
  <si>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</si>
  <si>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</si>
  <si>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</si>
  <si>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</si>
  <si>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HORIZON-CL6-2027-01-ZEROPOLLUTION-03</t>
  </si>
  <si>
    <t>Improve the capacity to monitor and reduce air pollution from agriculture</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</si>
  <si>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</si>
  <si>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</si>
  <si>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</si>
  <si>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</si>
  <si>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HORIZON-CL6-2027-01-ZEROPOLLUTION-04</t>
  </si>
  <si>
    <t>Europe-wide environmental benchmarking system of the industrial bioeconomy sectors</t>
  </si>
  <si>
    <t>Sustainability sciences, environment and resources, ecosystem services; Biomass production and utilisation, biofuels; Environmental engineering; Management; Operations management, international management; Innovation, research &amp; development, entrepreneurship</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</si>
  <si>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</si>
  <si>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</si>
  <si>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</si>
  <si>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HORIZON-CL6-2026-02-CLIMATE-01</t>
  </si>
  <si>
    <t>Towards more effective, fair and coherent policies for climate change mitigation and adaptation in agriculture and forestry</t>
  </si>
  <si>
    <t>Climatology and climate change; Sustainability sciences, environment and resources, ecosystem services; Environmental and climate change, societal impact and policy; Political systems, governance; Land use and planning; Macroeconomics</t>
  </si>
  <si>
    <t>Economics</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</si>
  <si>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</si>
  <si>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</si>
  <si>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</si>
  <si>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HORIZON-CL6-2026-02-CLIMATE-02</t>
  </si>
  <si>
    <t>Towards the water infrastructures of the future</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</si>
  <si>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</si>
  <si>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</si>
  <si>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</si>
  <si>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</si>
  <si>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HORIZON-CL6-2027-02-CLIMATE-01</t>
  </si>
  <si>
    <t>Governance, sustainable development and international politics of a future ice-free Arctic</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</si>
  <si>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</si>
  <si>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Anthropology; Gender studies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</si>
  <si>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</si>
  <si>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</si>
  <si>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</si>
  <si>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HORIZON-CL6-2027-02-CLIMATE-02</t>
  </si>
  <si>
    <t>Strengthening evidence-based policies for the resilience of European agriculture and forestry and related supply chains against crises and systemic risks</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</si>
  <si>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</si>
  <si>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</si>
  <si>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</si>
  <si>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</si>
  <si>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HORIZON-CL6-2027-02-CLIMATE-03</t>
  </si>
  <si>
    <t>Carbon farming innovation and scale-up</t>
  </si>
  <si>
    <t>Terrestrial ecology, land cover change; Earth observations from space/remote sensing; Machine learning, statistical data processing, computing with artificial neural networks; Sustainability sciences; Ecosystem and community ecology, macroecology; Artificial intelligence</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</si>
  <si>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</si>
  <si>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</si>
  <si>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</si>
  <si>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HORIZON-CL6-2027-02-CLIMATE-04</t>
  </si>
  <si>
    <t>Unlocking a safe operating space for Antarctica and the Southern Ocean</t>
  </si>
  <si>
    <t>Cryosphere, dynamics of snow and ice cover, sea ice, permafrosts and ice sheets; Oceanography (physical, chemical, biological, geological); Marine biology and ecology; Climatology and climate change; Ecosystem and community ecology; Biogeochemistry</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</si>
  <si>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</si>
  <si>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</si>
  <si>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</si>
  <si>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HORIZON-CL6-2027-02-CLIMATE-01-two-stage</t>
  </si>
  <si>
    <t>Open topic: Innovative solutions for the European Water Resilience Strategy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</si>
  <si>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</si>
  <si>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</si>
  <si>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</si>
  <si>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</si>
  <si>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HORIZON-CL6-2026-02-COMMUNITIES-01</t>
  </si>
  <si>
    <t>Boosting sustainable competitiveness in rural areas through innovation</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</si>
  <si>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</si>
  <si>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Economics; Business studies; Education; Gender studies</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</si>
  <si>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</si>
  <si>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</si>
  <si>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</si>
  <si>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HORIZON-CL6-2027-02-COMMUNITIES-01</t>
  </si>
  <si>
    <t>Strengthening rural communities' resilience to shocks</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</si>
  <si>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</si>
  <si>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Economics; Social and Cultural studies; Gender studies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</si>
  <si>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</si>
  <si>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</si>
  <si>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</si>
  <si>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HORIZON-CL6-2027-02-COMMUNITIES-02</t>
  </si>
  <si>
    <t>Empowering local urban food systems entrepreneurship and innovation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</si>
  <si>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</si>
  <si>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Business studies; Anthropology; Gender studies</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</si>
  <si>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</si>
  <si>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</si>
  <si>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</si>
  <si>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HORIZON-CL6-2026-03-GOVERNANCE-01</t>
  </si>
  <si>
    <t>Additional activities for the Sustainable Blue Economy Partnership (SBEP)</t>
  </si>
  <si>
    <t>Sustainability sciences; Oceanography; International relations; Political systems, governance; Environmental and climate change; Marine biology; Artificial intelligence</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</si>
  <si>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</si>
  <si>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</si>
  <si>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</si>
  <si>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HORIZON-CL6-2026-03-GOVERNANCE-02</t>
  </si>
  <si>
    <t>Improving analytical capacity and understanding of social drivers in agriculture to better assess social sustainability in the sector</t>
  </si>
  <si>
    <t>Social aspects of health, ageing and society; Social structure, social mobility, social innovation; Macroeconomics; Political systems, governance; Sustainability sciences; Social studies of science and technology; Social attitudes and beliefs</t>
  </si>
  <si>
    <t>Sociology; Psychology; Demography; Behavioural studies; Education</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</si>
  <si>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</si>
  <si>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</si>
  <si>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</si>
  <si>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HORIZON-CL6-2026-03-GOVERNANCE-03</t>
  </si>
  <si>
    <t>Empowering the UN Decade of Ocean Science for Sustainable Development</t>
  </si>
  <si>
    <t>International relations; Environmental and climate change; Marine biology; Oceanography; Communication and information; Sustainability sciences</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</si>
  <si>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</si>
  <si>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</si>
  <si>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</si>
  <si>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HORIZON-CL6-2026-03-GOVERNANCE-04</t>
  </si>
  <si>
    <t>Supporting All-Atlantic Ocean Research and Innovation Alliance</t>
  </si>
  <si>
    <t>International relations; Environmental and climate change; Communication and information; Social innovation; Conservation biology; Oceanography</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</si>
  <si>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</si>
  <si>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</si>
  <si>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</si>
  <si>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HORIZON-CL6-2026-03-GOVERNANCE-05</t>
  </si>
  <si>
    <t>Coordinated European contribution to the WMO Global Greenhouse Gas Watch and its international governance</t>
  </si>
  <si>
    <t>Atmospheric chemistry; Earth system modelling; Climatology and climate change; Earth observations from space; Artificial intelligence; International relations</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</si>
  <si>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</si>
  <si>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</si>
  <si>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</si>
  <si>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HORIZON-CL6-2026-03-GOVERNANCE-06</t>
  </si>
  <si>
    <t>A services and business incubator for geospatial open-source developments</t>
  </si>
  <si>
    <t>Databases, web and information systems; Artificial intelligence; Innovation, research &amp; development, entrepreneurship; Management; GIS, spatial analysis; Social innovation</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</si>
  <si>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</si>
  <si>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</si>
  <si>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</si>
  <si>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HORIZON-CL6-2026-03-GOVERNANCE-07</t>
  </si>
  <si>
    <t>Interconnect Earth Observation research for addressing environmental policies</t>
  </si>
  <si>
    <t>Earth observations from space; Environmental and climate change; Sustainability sciences; Communication and information; Political systems, governance; Social innovation</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</si>
  <si>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</si>
  <si>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</si>
  <si>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</si>
  <si>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HORIZON-CL6-2026-03-GOVERNANCE-08</t>
  </si>
  <si>
    <t>Boosting data availability and AI solutions in food for consumers and food service professionals</t>
  </si>
  <si>
    <t>Artificial intelligence; Food biotechnology; Marketing, consumer behaviour; Sustainability sciences; Databases; Social innovation</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</si>
  <si>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</si>
  <si>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</si>
  <si>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</si>
  <si>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</si>
  <si>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HORIZON-CL6-2026-03-GOVERNANCE-09</t>
  </si>
  <si>
    <t>Increasing knowledge flows to practice within AKIS via EU thematic knowledge hubs</t>
  </si>
  <si>
    <t>Sustainability sciences; Communication and information; Social aspects of teaching and learning; Innovation; Social innovation; Management</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</si>
  <si>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</si>
  <si>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</si>
  <si>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</si>
  <si>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HORIZON-CL6-2026-03-GOVERNANCE-10</t>
  </si>
  <si>
    <t>Embracing innovation in agriculture by peer-to-peer learning via on farm-demonstrations and cost-benefit analysis</t>
  </si>
  <si>
    <t>Social aspects of teaching and learning; Management; Social structure, social mobility, social innovation; Sustainability sciences; Innovation; Social attitudes and beliefs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</si>
  <si>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</si>
  <si>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</si>
  <si>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</si>
  <si>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HORIZON-CL6-2026-03-GOVERNANCE-01-two-stage</t>
  </si>
  <si>
    <t>Open topic: Develop Earth Intelligence solutions using environmental observations and state-of-the-art AI for sustainable competitiveness and policy making</t>
  </si>
  <si>
    <t>Earth observations from space; Artificial intelligence; Earth system modelling; Sustainability sciences; Innovation; Machine learning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</si>
  <si>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</si>
  <si>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Stage 1: 15/04/2026; Stage 2: 30/09/2026</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</si>
  <si>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</si>
  <si>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</si>
  <si>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HORIZON-CL6-2026-04-GOVERNANCE-01</t>
  </si>
  <si>
    <t>Additional activities for the European Partnership of Agriculture of Data</t>
  </si>
  <si>
    <t>Earth observations from space; Databases, web and information systems; Innovation; Sustainability sciences; Artificial intelligence; Political systems, governance</t>
  </si>
  <si>
    <t>This project provides continued support for the European Partnership of Agriculture of Data to develop ready-to-use digital tools for farmers and policymakers. It aims to defragment the European data landscape while leveraging satellite and in-situ observations.</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</si>
  <si>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</si>
  <si>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</si>
  <si>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HORIZON-CL6-2027-03-GOVERNANCE-01</t>
  </si>
  <si>
    <t>Strengthening the resilience of European farmers through improved capacity in coping with risks and crises</t>
  </si>
  <si>
    <t>Sustainability sciences; Management; Social structure, social mobility, social innovation; Personality and social cognition; Emotion; Social attitudes and beliefs; Political systems, governance</t>
  </si>
  <si>
    <t>Social and Behavioural studies; Economics; Demography</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</si>
  <si>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</si>
  <si>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</si>
  <si>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</si>
  <si>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HORIZON-CL6-2027-03-GOVERNANCE-02</t>
  </si>
  <si>
    <t>Improving analytical capacity for sustainable competitiveness of the agricultural sector</t>
  </si>
  <si>
    <t>Macroeconomics; Microeconomics; Management; Innovation; Sustainability sciences; Land use and planning</t>
  </si>
  <si>
    <t>Economics; Management; Sociology</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</si>
  <si>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</si>
  <si>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</si>
  <si>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</si>
  <si>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HORIZON-CL6-2027-03-GOVERNANCE-03</t>
  </si>
  <si>
    <t>International dimension of the circular bio-based economy: seeking win-win opportunities</t>
  </si>
  <si>
    <t>International relations, global and transnational governance; Sustainability sciences; Innovation, research &amp; development, entrepreneurship; Social innovation; Management</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</si>
  <si>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</si>
  <si>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</si>
  <si>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</si>
  <si>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HORIZON-CL6-2027-03-GOVERNANCE-04</t>
  </si>
  <si>
    <t>AI supporting informed advice for farmers and foresters to improve competitiveness and sustainability</t>
  </si>
  <si>
    <t>Artificial intelligence; Innovation, research &amp; development, entrepreneurship; Sustainability sciences; Social aspects of teaching and learning; Political systems, governance</t>
  </si>
  <si>
    <t>Law; Gender studies; Education; Behavioural sciences</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</si>
  <si>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</si>
  <si>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</si>
  <si>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</si>
  <si>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</si>
  <si>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</si>
  <si>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</si>
  <si>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</si>
  <si>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HORIZON-CL6-2027-03-GOVERNANCE-06</t>
  </si>
  <si>
    <t>Fostering generational renewal in agriculture via EU advisory network</t>
  </si>
  <si>
    <t>Social aspects of health, ageing and society; Social aspects of teaching and learning; Social structure, social mobility, social innovation; Entrepreneurship; Political systems, governance</t>
  </si>
  <si>
    <t>This project aims to equip agricultural advisors with the skills and tools needed to support young talent entering the farming business. It focuses on creating high-quality training and awareness campaigns to make farming an attractive and viable career choice.</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</si>
  <si>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</si>
  <si>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</si>
  <si>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HORIZON-CL6-2027-03-GOVERNANCE-07</t>
  </si>
  <si>
    <t>Strengthening strategic advice and synergies between EU and national Research and Innovation agendas and investments</t>
  </si>
  <si>
    <t>Political systems, governance; Sustainability sciences; International relations; Communication and information; Management; Social innovation</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</si>
  <si>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</si>
  <si>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</si>
  <si>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</si>
  <si>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European Commission</t>
  </si>
  <si>
    <t>Horizon Europe</t>
  </si>
  <si>
    <t>Pillar I - Excellent Science</t>
  </si>
  <si>
    <t>General</t>
  </si>
  <si>
    <t>HORIZON-MSCA-2026-SE-01</t>
  </si>
  <si>
    <t>MSCA Staff Exchanges 2026</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</si>
  <si>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</si>
  <si>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</si>
  <si>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</si>
  <si>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Single Stage</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</si>
  <si>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</si>
  <si>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</si>
  <si>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</si>
  <si>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Wellcome Trust</t>
  </si>
  <si>
    <t>International Grants</t>
  </si>
  <si>
    <t>Genomics in Context Awards</t>
  </si>
  <si>
    <t>Genomics; Bioethics; Transdisciplinary; Humanities; Social Sciences; Precision Medicine; Health Inequalities; AI in Genomics</t>
  </si>
  <si>
    <t>LS2 Integrative Biology; SH7 Human Mobility, Environment, and Space</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</si>
  <si>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</si>
  <si>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</si>
  <si>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</si>
  <si>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</si>
  <si>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https://wellcome.org/research-funding/schemes/genomics-in-context-awards</t>
  </si>
  <si>
    <t>Independent Social Research Foundation (ISRF)</t>
  </si>
  <si>
    <t>FG12</t>
  </si>
  <si>
    <t>Flexible Grants for Small Groups (FG12)</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</si>
  <si>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</si>
  <si>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</si>
  <si>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</si>
  <si>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</si>
  <si>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https://isrf.org/competitions/fg12</t>
  </si>
  <si>
    <t>J-PAL / APHRC</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</si>
  <si>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</si>
  <si>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</si>
  <si>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</si>
  <si>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</si>
  <si>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</si>
  <si>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https://www.povertyactionlab.org/initiative/evidence-ai-health-evah-rfp</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</si>
  <si>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</si>
  <si>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</si>
  <si>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</si>
  <si>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</si>
  <si>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</si>
  <si>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Worldwide Cancer Research</t>
  </si>
  <si>
    <t>Worldwide Cancer Research Grant Round 2026</t>
  </si>
  <si>
    <t>Cancer Biology; Translational Research; Basic Research; Oncology; Hypothesis-driven; Global Funding; Cancer Prevention; Early-stage Research</t>
  </si>
  <si>
    <t xml:space="preserve"> LS3 Cell Biology, Development, Stem Cells and Regeneration; LS4 Physiology in Health, Disease and Ageing</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</si>
  <si>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</si>
  <si>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</si>
  <si>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</si>
  <si>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https://www.worldwidecancerresearch.org/for-researchers/our-funding-criteria/</t>
  </si>
  <si>
    <t xml:space="preserve">Other EU Funding Programmes </t>
  </si>
  <si>
    <t>Citizens, Equality, Rights and Values Programme (CERV)</t>
  </si>
  <si>
    <t>CERV-2026-GE-WORK-LIFE</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</si>
  <si>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</si>
  <si>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</si>
  <si>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</si>
  <si>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</si>
  <si>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</si>
  <si>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</si>
  <si>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https://ec.europa.eu/info/funding-tenders/opportunities/docs/2021-2027/cerv/wp-call/2026/call-fiche_cerv-2026-ge_en.pdf</t>
  </si>
  <si>
    <t>CERV-2026-GE-PAY-TRANSP-DIR</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</si>
  <si>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</si>
  <si>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</si>
  <si>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</si>
  <si>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</si>
  <si>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</si>
  <si>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CERV-2026-GE-EQUAL-PART-REP</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</si>
  <si>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</si>
  <si>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</si>
  <si>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</si>
  <si>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</si>
  <si>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</si>
  <si>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CERV-2026-GE-GENDER-STEREO</t>
  </si>
  <si>
    <t>Priority 4: Tackling gender stereotypes in media and advertising</t>
  </si>
  <si>
    <t>Gender Stereotypes; Media Representation; Advertising; Social Media; Youth Empowerment; Positive Portrayals</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</si>
  <si>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</si>
  <si>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</si>
  <si>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</si>
  <si>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Erasmus+ Programme (ERASMUS)</t>
  </si>
  <si>
    <t>ERASMUS-EDU-2026-POL-EXP</t>
  </si>
  <si>
    <t>European Policy Experimentations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</si>
  <si>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</si>
  <si>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</si>
  <si>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</si>
  <si>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</si>
  <si>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</si>
  <si>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https://ec.europa.eu/info/funding-tenders/opportunities/docs/2021-2027/erasmus/wp-call/2026/call-fiche_erasmus-edu-2026-pol-exp_en.pdf</t>
  </si>
  <si>
    <t>EMBO</t>
  </si>
  <si>
    <t>Life Sciences</t>
  </si>
  <si>
    <t>EMBO Postdoctoral Fellowships</t>
  </si>
  <si>
    <t>Life Sciences; Molecular Biology; International Mobility; Postdoctoral Research; Career Development; Networking</t>
  </si>
  <si>
    <t>LS1 Molecules of Life: Biological Mechanisms, Structures and Functions ; LS3 Cell Biology, Development, Stem Cells and Regeneration</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</si>
  <si>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</si>
  <si>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</si>
  <si>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</si>
  <si>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10/07/2026 (Autumn Cut-off)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</si>
  <si>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</si>
  <si>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</si>
  <si>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https://www.embo.org/funding/fellowships-grants-and-career-support/postdoctoral-fellowships/application/</t>
  </si>
  <si>
    <t>BE READY Partnership</t>
  </si>
  <si>
    <t>Pillar II - Global Challenges &amp; European Industrial Competitiveness</t>
  </si>
  <si>
    <t>Advancing knowledge of host and pathogen dynamics</t>
  </si>
  <si>
    <t>Pandemic Preparedness; Infectious Diseases; One Health; Pathogen Dynamics; Viral Research; Therapeutics</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</si>
  <si>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</si>
  <si>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Horizon Europe Project Grant</t>
  </si>
  <si>
    <t>Two Stage</t>
  </si>
  <si>
    <t>13/04/2026 (Pre-proposal)</t>
  </si>
  <si>
    <t>Improved capacity to anticipate health threats; increased knowledge on therapeutic targets; evidence-based response strategies.</t>
  </si>
  <si>
    <t>Research on pathogen dynamics; molecular mechanisms of host-pathogen interactions; data modeling to predict pathogen behavior.</t>
  </si>
  <si>
    <t>https://beready4pandemics.eu/joint-transnational-calls/</t>
  </si>
  <si>
    <t>EUPAHW Partnership</t>
  </si>
  <si>
    <t>Shaping the Future of Animal Health and Welfare</t>
  </si>
  <si>
    <t>Animal Welfare; Animal Health; One Health; Livestock; Aquaculture; Infectious Diseases; Vaccines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</si>
  <si>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</si>
  <si>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30/03/2026 (Pre-proposal)</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</si>
  <si>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</si>
  <si>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</si>
  <si>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https://eupahw.ptj.de/call2</t>
  </si>
  <si>
    <t>FEBS (Federation of European Biochemical Societies)</t>
  </si>
  <si>
    <t>FEBS Short-Term Fellowships</t>
  </si>
  <si>
    <t>Biochemistry; Molecular Biology; Short-term Research; International Collaboration; PhD Research; Laboratory Exchange; Scientific Mobility; FEBS Area</t>
  </si>
  <si>
    <t>LS1 Molecules of Life: Biological Mechanisms, Structures and Functions; LS2 Integrative Biology</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</si>
  <si>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</si>
  <si>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</si>
  <si>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</si>
  <si>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</si>
  <si>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</si>
  <si>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</si>
  <si>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EACR (European Association for Cancer Research)</t>
  </si>
  <si>
    <t>EACR-AstraZeneca Postdoctoral Fellowships</t>
  </si>
  <si>
    <t>Cancer Research; Oncology; Postdoctoral Fellowship; Translational Medicine; Drug Discovery; AstraZeneca; EACR; Molecular Oncology</t>
  </si>
  <si>
    <t>LS4 Physiology in Health, Disease and Ageing; LS3 Cell Biology, Development, Stem Cells and Regeneration</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</si>
  <si>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</si>
  <si>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</si>
  <si>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</si>
  <si>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</si>
  <si>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</si>
  <si>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Other EU funding programmes</t>
  </si>
  <si>
    <t>CERV-2026-CITIZENS-CIV-ENGAGEMENT-DISINFOFIMI</t>
  </si>
  <si>
    <t>Promoting citizens' engagement and participation by effectively countering disinformation and foreign information manipulation and interference</t>
  </si>
  <si>
    <t>Disinformation; FIMI; Media Literacy; Fact-checking; Democratic Integrity; Information Space; Societal Resilience; Civic Engagement</t>
  </si>
  <si>
    <t>This call focuses on protecting democratic processes from Foreign Information Manipulation and Interference (FIMI) and disinformation. It aims to empower citizens to make informed decisions by increasing media literacy and resilience. Projects should foster cross-border cooperation between civil society organizations and media to identify and expose manipulation techniques while promoting a fact-based public discourse.</t>
  </si>
  <si>
    <t>Strengthened situational awareness and response capacity to safeguard information integrity; Reinforced democratic institutions; Increased societal resilience against disinformation; Improved cooperation between CSOs and media; Higher media literacy among targeted citizen groups.</t>
  </si>
  <si>
    <t>Activities include: (1) Developing tools to identify, analyze, and expose FIMI; (2) Media literacy campaigns to build resilience; (3) Facilitating cross-border cooperation between civil society and media; (4) Supporting independent fact-checking and investigative journalism.</t>
  </si>
  <si>
    <t>https://ec.europa.eu/info/funding-tenders/opportunities/portal/screen/opportunities/topic-details/CERV-2026-CITIZENS-CIV-ENGAGEMENT-DISINFOFIMI</t>
  </si>
  <si>
    <t>CERV-2026-CITIZENS-CIV-ENGAGEMENT-ELECTIONS</t>
  </si>
  <si>
    <t>Supporting free, fair and inclusive electoral processes</t>
  </si>
  <si>
    <t>Elections; Voter Turnout; Democratic Participation; EU Citizenship; Mobile Citizens; Under-represented Groups; Electoral Integrity</t>
  </si>
  <si>
    <t>This call aims to encourage democratic participation with a specific focus on the European Parliament elections. It supports projects that increase citizens' understanding of the EU policy-making process and the importance of voting. Activities should target under-represented groups, reduce the participation gap, and promote a sense of European identity and ownership.</t>
  </si>
  <si>
    <t>Increased voter turnout in EP elections; Improved information about electoral rights for mobile EU citizens; Reduced participation gap for under-represented groups; Enhanced integrity of electoral processes against external risks.</t>
  </si>
  <si>
    <t>The focus is on: (1) Providing information about elections and electoral rights; (2) Encouraging participation of mobile EU citizens and vulnerable groups; (3) Supporting public bodies in ensuring fairness and resilience of electoral systems.</t>
  </si>
  <si>
    <t>https://ec.europa.eu/info/funding-tenders/opportunities/portal/screen/opportunities/topic-details/CERV-2026-CITIZENS-CIV-ENGAGEMENT-ELECTIONS</t>
  </si>
  <si>
    <t>CERV-2026-CITIZENS-CIV-ENGAGEMENT-BEYOND-ELECTIONS</t>
  </si>
  <si>
    <t>Promoting citizens' active engagement and democratic participation in public policymaking, beyond elections</t>
  </si>
  <si>
    <t>Deliberative Democracy; Citizens' Assemblies; Civic Engagement; Policymaking; Digital Participation; Civic Tech; Participatory Governance</t>
  </si>
  <si>
    <t>This call addresses the need for sustained democratic engagement between election cycles. It supports innovative forms of participation such as deliberative democracy, citizens' assemblies, and digital participation tools. The goal is to bridge the gap between citizens and institutions by creating permanent channels for feedback on EU priorities and local governance.</t>
  </si>
  <si>
    <t>Increased citizen empowerment in decision-making; Greater contribution to EU civic life from diverse backgrounds; Enhanced use of consultative/deliberative processes by public bodies; Improved digital tools for participation.</t>
  </si>
  <si>
    <t>Activities include: (1) Facilitating structured participatory and deliberative consultative processes; (2) Developing and implementing digital platforms for engagement; (3) Enhancing interaction between public institutions and citizens on specific policy themes.</t>
  </si>
  <si>
    <t>https://ec.europa.eu/info/funding-tenders/opportunities/portal/screen/opportunities/topic-details/CERV-2026-CITIZENS-CIV-ENGAGEMENT-BEYOND-ELECTIONS</t>
  </si>
  <si>
    <t>Creative Europe (CREA)</t>
  </si>
  <si>
    <t>CREA-CROSS-2026-MEDIALITERACY</t>
  </si>
  <si>
    <t>Media Literacy</t>
  </si>
  <si>
    <t>Media Literacy; Disinformation; Social Media; Critical Thinking; Digital Competence; Information Manipulation; Cross-border Collaboration; Fact-checking</t>
  </si>
  <si>
    <t>SH8 Studies of Cultures and Arts; PE6 Computer Science and Informatics</t>
  </si>
  <si>
    <t>This call supports the development of innovative media literacy initiatives across Europe. It aims to help citizens of all ages navigate the modern news environment, identify disinformation, and interact responsibly with social media. The focus is on cross-border collaboration to share best practices and create tools that can be adapted across different linguistic and cultural contexts.</t>
  </si>
  <si>
    <t>CREA Project Grants</t>
  </si>
  <si>
    <t>Creation or scaling up of cross-border media literacy collaborations; Deployment of tools for specific target groups (e.g., vulnerable or low-skill groups); Improved practices for media professionals to adapt to new formats.</t>
  </si>
  <si>
    <t>Scope includes: (1) Creation of multilingual interactive content; (2) Development of tools for citizens and educators; (3) Innovative solutions for the current and future media landscape; (4) Awareness-raising events and best practice sharing.</t>
  </si>
  <si>
    <t>https://ec.europa.eu/info/funding-tenders/opportunities/portal/screen/opportunities/topic-details/CREA-CROSS-2026-MEDIALITERACY</t>
  </si>
  <si>
    <t>EIT</t>
  </si>
  <si>
    <t>EIT HEI Initiative</t>
  </si>
  <si>
    <t>EIT Higher Education Initiative Call for Proposals 2025</t>
  </si>
  <si>
    <t>STEM Education; Entrepreneurship; Innovation Capacity; Higher Education; University Alliances; Knowledge Triangle; Strategic Autonomy</t>
  </si>
  <si>
    <t>This call aims to strengthen the innovation and entrepreneurship capacity of Europe's STEM talent pipeline and build long-term synergies between European University alliances and the EIT Knowledge and Innovation Communities (KICs). It focuses on integrating education, innovation, and business to accelerate research-to-market transitions and reinforce entrepreneurial mindsets within higher education institutions and their ecosystems.</t>
  </si>
  <si>
    <t>EIT Project Grant</t>
  </si>
  <si>
    <t>Strengthened STEM talent pipeline; Deepened cooperation between EIT KICs and University alliances; Increased training in innovation and IP management for 200,000 learners by 2028; Accelerated research-to-market translation.</t>
  </si>
  <si>
    <t>Topic 1: Boosting STEM innovation and entrepreneurship capacity. Topic 2: Strengthening synergies between the EIT ecosystem and European University alliances. Activities include action plan implementation, training, and building innovation structures.</t>
  </si>
  <si>
    <t>https://eit-hei.eu/funding-support/funding-opportunities/open-calls/call-for-proposals-2025/</t>
  </si>
  <si>
    <t>Schmidt Sciences</t>
  </si>
  <si>
    <t>Science of Trustworthy AI RFP 2026</t>
  </si>
  <si>
    <t>Artificial Intelligence; Trustworthy AI; Risk Mitigation; Frontier Systems; Machine Learning; Alignment; Deployment Safety; Superhuman AI</t>
  </si>
  <si>
    <t>This call supports basic technical research aimed at improving the understanding, prediction, and control of risks associated with frontier AI systems. The program focuses on three key aims: characterizing misalignment, developing generalizable interventions, and overseeing superhuman AI capabilities. It prioritizes field-shaping research over incremental work to ensure infrastructure for trustworthy assessment keeps pace with rapid deployment. Funding is available in two tiers, supporting projects from 1 to 3 years.</t>
  </si>
  <si>
    <t>Research Grant</t>
  </si>
  <si>
    <t>The expected impact is research that moves the field forward in a significant way, helping ensure AI can be deployed safely and reliably as it becomes more capable. Specific outcomes include mature decision-relevant evaluations and advanced trustworthy AI approaches resistant to obsolescence from fast-evolving technology.</t>
  </si>
  <si>
    <t>The program supports technical research spanning three aims: (1) Characterize and forecast misalignment in frontier AI systems; (2) Develop generalizable measurements and interventions; (3) Oversee AI systems with superhuman capabilities and address multi-agent risks. It excludes policy or ethics-only research.</t>
  </si>
  <si>
    <t>https://schmidtsciences.smapply.io/prog/science_of_trustworthy_ai_rfp_2026/</t>
  </si>
  <si>
    <t>CERV-2026-DAPHNE</t>
  </si>
  <si>
    <t>Call for proposals to prevent and combat gender-based violence and violence against children</t>
  </si>
  <si>
    <t>Gender-based Violence; Child Protection; Victim Support; Domestic Violence; Prevention; Equality; Human Rights; LGBTIQ Protection</t>
  </si>
  <si>
    <t>This initiative focuses on combating all forms of gender-based violence against women and girls, as well as violence against children and other at-risk groups like LGBTIQ people. The program supports the prevention of violence, protection of victims, and the promotion of standards established by the Council of Europe Convention. It aims to ensure a consistent level of protection across the Union through multidisciplinary systems and cross-border cooperation.</t>
  </si>
  <si>
    <t>CERV Project Grants</t>
  </si>
  <si>
    <t>Strengthened capacity of CSOs to protect and promote Union values; Increased promotion and public awareness of the Charter at local and national levels; Increased resilience of CSOs; Better protection and targeted assistance for victims of violence and human rights defenders.</t>
  </si>
  <si>
    <t>The scope includes: (1) Preventing and combating gender-based violence against women and girls and domestic violence; (2) Preventing and combating all forms of violence against children and other groups at risk (LGBTIQ, persons with disabilities); (3) Supporting and protecting all direct and indirect victims.</t>
  </si>
  <si>
    <t>https://ec.europa.eu/info/funding-tenders/opportunities/portal/screen/opportunities/topic-details/CERV-2025-DAPHNE</t>
  </si>
  <si>
    <t>Pilar I - Excellent Science</t>
  </si>
  <si>
    <t>HORIZON-MSCA-2026-COFUND-01-01</t>
  </si>
  <si>
    <t>MSCA COFUND 2026</t>
  </si>
  <si>
    <t>Researcher Mobility; Doctoral Training; Postdoctoral Fellowships; Career Development; International Cooperation; Inter-sectoral Training; Open Science</t>
  </si>
  <si>
    <t>The Marie Skłodowska-Curie Actions (MSCA) COFUND program co-finances new or existing regional, national, and international doctoral and postdoctoral fellowship schemes. The objective is to spread MSCA best practices, including high-quality research training and international mobility. By supporting researchers at various career stages, the program enhances human resources and skills development within the European Research Area.</t>
  </si>
  <si>
    <t>HORIZON-TMA-MSCA-COFUND</t>
  </si>
  <si>
    <t>Deeper and more diverse set of research-related and transferable skills for researchers; Improved employability and career prospects; New mind-sets through international and inter-sectoral experience; Enhanced networking capacities; Increased global attractiveness and R&amp;I capacity of participating organisations.</t>
  </si>
  <si>
    <t>Applicants submit proposals for new or existing doctoral or postdoctoral programmes with an impact on the enhancement of human resources in R&amp;I. These "bottom-up" programmes can cover any research discipline and must include compulsory international mobility and high standards of training.</t>
  </si>
  <si>
    <t>https://ec.europa.eu/info/funding-tenders/opportunities/portal/screen/opportunities/topic-details/HORIZON-MSCA-2026-COFUND-01-01</t>
  </si>
  <si>
    <t>JUSTICE Programme</t>
  </si>
  <si>
    <t>JUST-2026-JTRA</t>
  </si>
  <si>
    <t>Action grants to support transnational projects on judicial training covering civil law, criminal law or fundamental rights</t>
  </si>
  <si>
    <t>Judicial Training; Rule of Law; Civil Law; Criminal Law; Fundamental Rights; Legal Cooperation; Mutual Trust; EU Acquis</t>
  </si>
  <si>
    <t>SH2 Institutions, Governance and Legal Systems</t>
  </si>
  <si>
    <t>This call supports the training of justice professionals on EU law and fundamental rights. It aims to foster a common European judicial culture based on the rule of law and mutual trust. Projects address training needs in civil and criminal law, focusing on the correct application of EU instruments and cross-border legal cooperation between Member States.</t>
  </si>
  <si>
    <t>JUST Lump Sum Grants</t>
  </si>
  <si>
    <t>Increased knowledge of EU instruments among legal practitioners; Improved mutual trust; Stronger application of the rule of law; Effective cross-border judicial cooperation.</t>
  </si>
  <si>
    <t>Support for transnational training projects for judges, prosecutors, lawyers, and court staff on EU civil, criminal, and fundamental rights law.</t>
  </si>
  <si>
    <t>https://ec.europa.eu/info/funding-tenders/opportunities/portal/screen/opportunities/topic-details/just-2026-jtra</t>
  </si>
  <si>
    <t>Digital Europe Programme</t>
  </si>
  <si>
    <t>DIGITAL-2026-AI-09-VIRTUAL-TESTBEDS-STEP</t>
  </si>
  <si>
    <t>Virtual worlds test beds</t>
  </si>
  <si>
    <t>AI; Robotics; Virtual Testing; Digital Twins; Simulation; STEP; Industry 4.0; Technology Validation; Strategic Autonomy</t>
  </si>
  <si>
    <t>This call focuses on creating virtual testing environments for AI and robotics solutions. Part of the STEP initiative, it aims to accelerate the deployment of sovereign European digital technologies. These testbeds allow developers to validate systems in high-fidelity simulations before physical deployment, reducing costs and risks.</t>
  </si>
  <si>
    <t>DIGITAL Simple Grants</t>
  </si>
  <si>
    <t>Enhanced capacity for AI/Robotics validation; Increased uptake of AI by European SMEs; Reduced time-to-market for critical digital technologies; Alignment with STEP objectives.</t>
  </si>
  <si>
    <t>Development of large-scale virtual testing and experimentation facilities (TEF) providing simulation services for AI-driven systems in industrial or societal applications.</t>
  </si>
  <si>
    <t>https://ec.europa.eu/info/funding-tenders/opportunities/portal/screen/opportunities/topic-details/DIGITAL-2026-AI-09-VIRTUAL-TESTBEDS-STEP</t>
  </si>
  <si>
    <t>Asylum, Migration and Integration Fund (AMIF)</t>
  </si>
  <si>
    <t>AMIF-2025-TF2-AG-INTE</t>
  </si>
  <si>
    <t>Call for proposals on the integration of third-country nationals</t>
  </si>
  <si>
    <t>Migration; Integration; Inclusion; Migrant Support; Local Communities; Labor Market Access; Social Cohesion; Digital Skills</t>
  </si>
  <si>
    <t>SH7 Human Mobility, Environment, and Space</t>
  </si>
  <si>
    <t>This call supports the effective integration of third-country nationals into EU societies. It prioritizes local-level actions that promote social inclusion, labor market integration, and access to basic services. It emphasizes multi-stakeholder cooperation to address specific needs of vulnerable migrant groups.</t>
  </si>
  <si>
    <t>AMIF Project Grants</t>
  </si>
  <si>
    <t>21/05/2025; 16/09/2025</t>
  </si>
  <si>
    <t>Improved social and economic integration of migrants; Increased capacity of local authorities; Better social cohesion in local communities; Reduced digital gap for migrants.</t>
  </si>
  <si>
    <t>Projects focusing on: (1) Local integration strategies; (2) Integration of migrant women/children; (3) Labor inclusion; (4) Access to healthcare and digital skills training.</t>
  </si>
  <si>
    <t>https://ec.europa.eu/info/funding-tenders/opportunities/docs/2021-2027/amif/wp-call/2025/call-fiche_amif-2025-tf2-ag-inte_en.pdf</t>
  </si>
  <si>
    <t>Interreg</t>
  </si>
  <si>
    <t>Interreg NEXT MED</t>
  </si>
  <si>
    <t>NEXT MED 2nd Call</t>
  </si>
  <si>
    <t>Second call for proposals for green transition projects</t>
  </si>
  <si>
    <t>Mediterranean Cooperation; Green Transition; Climate Change; Blue Economy; Water Management; Energy Efficiency; Circular Economy</t>
  </si>
  <si>
    <t>This call funds large-scale strategic projects across the Mediterranean basin targeting environmental challenges. It focuses on driving scalable, innovative solutions for a low-carbon, climate-resilient Mediterranean. Projects must involve partners from at least three countries, including at least one Mediterranean Partner Country.</t>
  </si>
  <si>
    <t>Interreg Project Grant</t>
  </si>
  <si>
    <t>Enhanced cross-border cooperation; Scalable solutions for climate adaptation; Increased employment in the green/blue economy; Better sustainable water management.</t>
  </si>
  <si>
    <t>Implementation of strategic territorial actions focusing on energy efficiency, circular economy, climate resilience, and sustainable water management across the Mediterranean.</t>
  </si>
  <si>
    <t>https://www.interregnextmed.eu/apply-for-funding/second-call-for-proposals/submit-a-project-proposal/</t>
  </si>
  <si>
    <t>HORIZON-RAISE-2026-01-MSCA</t>
  </si>
  <si>
    <t>Thematic Networks of Excellence for AI in Science (RAISE pilot)</t>
  </si>
  <si>
    <t>AI in Science; Research Excellence; Networks of Excellence; Scientific Computing; Pilot Action; Interdisciplinary Research</t>
  </si>
  <si>
    <t>This pilot action supports the creation of thematic networks of excellence for AI in Science. It aims to foster collaboration between world-class research teams to accelerate the uptake of AI across scientific disciplines. The program emphasizes the development of AI-driven methodologies to solve complex scientific problems and enhance European research competitiveness.</t>
  </si>
  <si>
    <t>HORIZON Research and Innovation Actions</t>
  </si>
  <si>
    <t>Consolidated European leadership in AI-driven science; Enhanced interdisciplinary collaboration; New AI methodologies for scientific discovery; Increased researcher skills in AI.</t>
  </si>
  <si>
    <t>Establishment of networks focusing on AI applications in specific scientific domains (e.g., Agriculture, Health, Environment) to foster research excellence and knowledge transfer.</t>
  </si>
  <si>
    <t>https://ec.europa.eu/info/funding-tenders/opportunities/portal/screen/opportunities/topic-details/HORIZON-RAISE-2026-01-03</t>
  </si>
  <si>
    <t>Creative Europe Programme (CREA) - Culture strand</t>
  </si>
  <si>
    <t>CREA-CULT-2026-COOP-2</t>
  </si>
  <si>
    <t>European Cooperation Projects (Medium Scale)</t>
  </si>
  <si>
    <t>Transnational cooperation; Cultural heritage; Artistic innovation; Creative industries; European works circulation; Capacity building; Digital transition; Green transition; Social inclusion; Cross-border partnerships</t>
  </si>
  <si>
    <t>SH8 Studies of Cultures and Arts; SH7 Human Mobility, Environment, and Space</t>
  </si>
  <si>
    <t>This call supports transnational cooperation projects within the European cultural and creative sectors. It aims to facilitate the co-production, circulation, and visibility of European works and artists while fostering innovation and capacity-building. Projects must address either transnational creation and circulation or innovation to enhance the sector's competitiveness and job growth. The Medium Scale category specifically requires a consortium of at least five independent entities from five different eligible countries. Proposals should integrate overarching EU priorities, including the digital and green transitions, social inclusion, and gender equality, to ensure a resilient and diverse cultural landscape.</t>
  </si>
  <si>
    <t>This strand aims to foster the capacity of European cultural and creative sectors to face common challenges and nurture talents. Expected outcomes include increased transnational dissemination of European artistic works, improved access to culture for diverse audiences, and enhanced innovation and sustainability within cultural organizations.</t>
  </si>
  <si>
    <t>Projects must address one of the following two objectives: 1) Transnational creation and circulation: to strengthen the transnational creation and circulation of European works and artists; 2) Innovation: to enhance the capacity of European cultural and creative sectors to nurture talents, to innovate, to prosper and to generate jobs and growth.</t>
  </si>
  <si>
    <t>https://ec.europa.eu/info/funding-tenders/opportunities/portal/screen/opportunities/topic-details/CREA-CULT-2026-COOP-2</t>
  </si>
  <si>
    <t>Creative Europe Programme (CREA) - MEDIA strand</t>
  </si>
  <si>
    <t>CREA-MEDIA-2026-TRAINING</t>
  </si>
  <si>
    <t>Skills and Talent Development</t>
  </si>
  <si>
    <t>Audiovisual industry; Professional training; Talent development; Digital transition; Business models; Scriptwriting; Media production; Sustainable filming; AI in media; Transnational networking</t>
  </si>
  <si>
    <t>This initiative aims to strengthen the capacity of European audiovisual professionals to adapt to new market trends, digital technologies, and sustainable practices. The focus is on fostering talent through high-level training programs that cover the entire value chain—from scriptwriting and production to distribution and exhibition. The call prioritizes the acquisition of digital skills (including AI integration), innovative business models, and the promotion of a more diverse and inclusive industry. By supporting professional development, the program seeks to enhance the international competitiveness of European audiovisual works and encourage transnational collaboration across the continent.</t>
  </si>
  <si>
    <t>The expected outcome is to improve the skills and competencies of audiovisual professionals to facilitate their adaptation to the digital transition and new business models. It aims to foster the scale-up of European audiovisual companies and improve the quality of European content.</t>
  </si>
  <si>
    <t>Support is provided for the development of innovative training curriculum for audiovisual professionals, covering topics such as scriptwriting, digital tools, greening of the industry, and financial management. Activities should encourage networking and knowledge sharing between professionals from different backgrounds.</t>
  </si>
  <si>
    <t>https://ec.europa.eu/info/funding-tenders/opportunities/portal/screen/opportunities/topic-details/CREA-MEDIA-2026-TRAINING</t>
  </si>
  <si>
    <t>CREA-CULT-2026-COOP-1</t>
  </si>
  <si>
    <t>European Cooperation Projects (Small Scale)</t>
  </si>
  <si>
    <t>Small-scale cooperation; Cultural diversity; Grassroots arts; Emerging artists; Cross-border networking; Cultural participation; Innovation in arts; Social inclusion; Knowledge exchange; European added value</t>
  </si>
  <si>
    <t>This funding call is designed to support small-scale transnational cooperation projects within the European cultural and creative sectors. It aims to lower the barrier to entry for smaller organizations, allowing them to engage in cross-border artistic creation, knowledge exchange, and professional development. Projects must involve a minimum of three partners from three different eligible countries. The call focuses on two main objectives: strengthening the transnational creation and circulation of European works and artists, and enhancing the capacity of the sector to nurture talents, innovate, and contribute to social inclusion and climate action.</t>
  </si>
  <si>
    <t>Expected outcomes include the strengthening of small-scale cultural organizations, the promotion of cultural diversity, and the increased mobility of artists. The projects should provide practical experience in transnational cooperation for smaller entities and lead to the development of new creative outputs.</t>
  </si>
  <si>
    <t>Focuses on smaller consortia (min. 3 partners). Projects should implement activities related to creation, training, and audience development. Special attention is given to the integration of digital tools and sustainable practices within the project's execution.</t>
  </si>
  <si>
    <t>https://ec.europa.eu/info/funding-tenders/opportunities/portal/screen/opportunities/topic-details/CREA-CULT-2026-COOP-1</t>
  </si>
  <si>
    <t>CREA-MEDIA-2026-FESTNET</t>
  </si>
  <si>
    <t>Networks of European Festivals</t>
  </si>
  <si>
    <t>Audiovisual festivals; European film circulation; Network cooperation; Audience development; Joint programming; Promotional strategies; Cultural exchange; Sustainability in media; Film industry networking; Non-national European works</t>
  </si>
  <si>
    <t>This call aims to support the creation and development of networks among European audiovisual festivals. The objective is to increase the impact and efficiency of these festivals by fostering coordinated activities, such as joint programming, shared promotional efforts, and the exchange of best practices. By working in networks, festivals can better promote European audiovisual works to a wider audience, including young people, and enhance their contribution to the circulation of non-national European films. The initiative emphasizes innovation in audience engagement and the integration of sustainable and inclusive practices within the festival circuit.</t>
  </si>
  <si>
    <t>The expected outcome is a reinforced cooperation between European audiovisual festivals, leading to a broader circulation of European works and a more efficient use of resources. It seeks to increase audience interest in European content and foster sustainable festival management.</t>
  </si>
  <si>
    <t>Activities include the coordination of film programming across network members, joint promotional events, and the development of common tools for audience development and data analysis. Networks must consist of a significant number of festivals across multiple eligible countries.</t>
  </si>
  <si>
    <t>https://ec.europa.eu/info/funding-tenders/opportunities/portal/screen/opportunities/topic-details/CREA-MEDIA-2026-FESTNET</t>
  </si>
  <si>
    <t>CREA-MEDIA-2026-FILMDIST</t>
  </si>
  <si>
    <t>European Film Distribution</t>
  </si>
  <si>
    <t>Film distribution; Non-national films; Theatrical release; Cinema promotion; European cinema circulation; Audience reach; Media competitiveness; Automatic support; Distribution reinvestment; Cross-border film marketing</t>
  </si>
  <si>
    <t>This funding scheme is designed to support the wider distribution of non-national European films. It provides incentives to theatrical distributors to invest in the promotion and distribution of European films outside their country of origin. The call aims to improve the circulation of European works across borders, increase their audience reach, and enhance the competitiveness of the European film industry. Funding is typically calculated based on the distributor's performance in the previous year (automatic support), which must then be reinvested into the promotion of new non-national European films. This mechanism ensures a continuous cycle of support for diverse European cinema.</t>
  </si>
  <si>
    <t>Expected outcomes include a significant increase in the audience for non-national European films and improved profitability for distributors. It aims to reduce the financial risk for distributors when promoting diverse European content in competitive markets.</t>
  </si>
  <si>
    <t>The scope covers the theatrical distribution of eligible European films. Distributors must demonstrate a track record of distributing non-national works. The support is tied to the reinvestment of earned grants into the acquisition and marketing of new eligible films.</t>
  </si>
  <si>
    <t>https://ec.europa.eu/info/funding-tenders/opportunities/portal/screen/opportunities/topic-details/CREA-MEDIA-2026-FILMDIST</t>
  </si>
  <si>
    <t>Creative Europe Programme (CREA) - MEDIA Strand</t>
  </si>
  <si>
    <t>CREA-MEDIA-2026-FILMOVE</t>
  </si>
  <si>
    <t>Films on the Move</t>
  </si>
  <si>
    <t>Film Distribution; European Cinema; Sales Agents; Theatrical Release; Audience Development; Transnational Circulation; Media Strand; Audiovisual Industry</t>
  </si>
  <si>
    <t>SH8 Studies of Cultures and Arts</t>
  </si>
  <si>
    <t>This action supports the wider transnational distribution of recent non-national European films. It aims to encourage sales agents and theatrical distributors to invest in the promotion and adequate distribution of European works outside their country of origin. The funding focuses on pan-European theatrical and online distribution strategies, seeking to expand audience reach and improve the competitive position of European cinema on a global scale. Special emphasis is placed on sustainability, gender balance, and inclusion within the distribution campaigns.</t>
  </si>
  <si>
    <t>19/03/2026; 16/07/2026</t>
  </si>
  <si>
    <t>The expected outcome is the increase in the transnational distribution of non-national European films, both in theaters and on digital platforms. It aims to foster investment from sales agents and distributors in the promotion of European works and to expand the audience for European cinema across borders, enhancing the diversity of available films.</t>
  </si>
  <si>
    <t>The scope includes the creation of clusters of European distributors and sales agents to coordinate the release of non-national European films. Activities supported include the promotion, marketing, and advertising of eligible films, as well as the costs associated with theatrical and online distribution across multiple MEDIA-participating countries.</t>
  </si>
  <si>
    <t>https://ec.europa.eu/info/funding-tenders/opportunities/portal/screen/opportunities/topic-details/CREA-MEDIA-2026-FILMOVE</t>
  </si>
  <si>
    <t>CREA-MEDIA-2026-TVONLINE-1</t>
  </si>
  <si>
    <t>TV and Online Content – Animation</t>
  </si>
  <si>
    <t>Animation Production; TV Series; Digital Platforms; European Content; International Co-production; Visual Storytelling; Media Strand; Independent Producers</t>
  </si>
  <si>
    <t>This action supports the production of innovative and high-quality animated content intended for television or online platforms. It aims to increase the capacity of European animation producers to develop projects with high potential for circulation across Europe and beyond. Key requirements include the involvement of at least two broadcasters from different MEDIA countries. The call emphasizes high artistic value, international appeal, and digital distribution strategies, while encouraging greening practices and gender balance within production teams.</t>
  </si>
  <si>
    <t>Increased production of high-quality animated content for TV and online, with high potential for international circulation. Strengthened independence of producers and fostered cooperation between broadcasters and independent production companies. Enhanced audience reach for European animation across various platforms.</t>
  </si>
  <si>
    <t>Support for the production of animation works (minimum 24 minutes) with high creative value and international potential. Projects must involve at least two broadcasters from different MEDIA participating countries. Activities include production, distribution, and promotion with a focus on cross-border exploitation.</t>
  </si>
  <si>
    <t>https://ec.europa.eu/info/funding-tenders/opportunities/portal/screen/opportunities/topic-details/CREA-MEDIA-2026-TVONLINE-1</t>
  </si>
  <si>
    <t>CREA-MEDIA-2026-TVONLINE-2</t>
  </si>
  <si>
    <t>TV and Online Content – Documentary</t>
  </si>
  <si>
    <t>Creative Documentary; TV Production; Online Content; European Co-production; Independent Producers; International Circulation; Media Content; Audiovisual Works</t>
  </si>
  <si>
    <t>This call is dedicated to the production of creative documentaries intended for television or online exploitation with high international potential. It aims to strengthen the independence of European producers and facilitate international co-productions. Projects must demonstrate strong artistic value and a clear distribution strategy involving at least two broadcasting companies from different MEDIA-participating countries. The action encourages high-quality storytelling that can circulate across borders, while promoting environmental sustainability and diversity in the audiovisual sector.</t>
  </si>
  <si>
    <t>Enhanced production of international-scale creative documentaries. Improved cooperation between independent European producers and broadcasters. Increased visibility and circulation of European documentaries in the global television and online market.</t>
  </si>
  <si>
    <t>Production of creative documentaries (minimum 50 minutes) that show high artistic quality and international appeal. Must include a minimum of two broadcasting agreements from MEDIA countries. Focus on projects that can be distributed across multiple territories and reach diverse audiences.</t>
  </si>
  <si>
    <t>https://ec.europa.eu/info/funding-tenders/opportunities/portal/screen/opportunities/topic-details/CREA-MEDIA-2026-TVONLINE-2</t>
  </si>
  <si>
    <t>CREA-MEDIA-2026-TVONLINE-3</t>
  </si>
  <si>
    <t>TV and Online Content – Fiction</t>
  </si>
  <si>
    <t>Fiction Series; Drama Production; TV Broadcasting; Digital Platforms; Cross-border Cooperation; European Fiction; Media Strand; Independent Production</t>
  </si>
  <si>
    <t>Supporting the production of high-quality drama films and series, this call targets works with significant potential for transnational circulation via television or digital platforms. The objective is to foster collaboration between independent producers, broadcasters, and sales agents across Europe. Proposals must feature a robust financing plan and distribution strategy, ensuring the work reaches audiences beyond its domestic market. The initiative also prioritizes innovative content and the inclusion of greening consultants to minimize environmental impact.</t>
  </si>
  <si>
    <t>Development and production of high-end European fiction series and films. Stronger international positioning for European fiction content. Increased collaboration between broadcasters and producers to reach a wider European audience.</t>
  </si>
  <si>
    <t>Production of fiction films (min. 90 mins) or series (min. 90 mins total) intended for TV or online exploitation. Projects must demonstrate high creative quality and cross-border appeal, supported by agreements with at least two broadcasters from different MEDIA countries. Includes production and marketing activities.</t>
  </si>
  <si>
    <t>https://ec.europa.eu/info/funding-tenders/opportunities/portal/screen/opportunities/topic-details/CREA-MEDIA-2026-TVONLINE-3</t>
  </si>
  <si>
    <t>Digital Europe Programme (DIGITAL) - Cybersecurity (ECCC)</t>
  </si>
  <si>
    <t>DIGITAL-ECCC-2026-DEPLOY-CYBER-10-CBCH</t>
  </si>
  <si>
    <t>Cross-Border Cyber Hubs</t>
  </si>
  <si>
    <t>Cybersecurity; Cross-border Cooperation; Threat Intelligence; Cyber Resilience; Incident Response; Situational Awareness; Data Sharing; ECCC</t>
  </si>
  <si>
    <t>This call aims to reinforce European cybersecurity resilience by supporting the establishment or scale-up of Cross-Border Cyber Hubs. These hubs act as centers for collective threat intelligence, sharing real-time data on cyber incidents and vulnerabilities across borders. The objective is to foster collaboration between Member States and European entities to ensure a high common level of security. Funded projects will focus on implementing advanced tools for monitoring and managing large-scale cyber events, aligning with the EU Cyber Solidarity Act's goals to enhance situational awareness and collective response capabilities.</t>
  </si>
  <si>
    <t>Strengthened capacities of Cross-Border Cyber Hubs to monitor, detect, and analyze cyber threats. Improved real-time cooperation and information sharing between Member States and the European Cybersecurity Community. Enhanced collective response to large-scale cybersecurity incidents across the EU.</t>
  </si>
  <si>
    <t>Support the development and operation of hubs that aggregate cybersecurity data from various sources across borders. Activities include the procurement of high-performance computing resources, AI-based analytics tools, and the establishment of secure communication channels for sharing sensitive threat intelligence.</t>
  </si>
  <si>
    <t>https://ec.europa.eu/info/funding-tenders/opportunities/portal/screen/opportunities/topic-details/DIGITAL-ECCC-2026-DEPLOY-CYBER-10-CBCH</t>
  </si>
  <si>
    <t>DIGITAL-ECCC-2026-DEPLOY-CYBER-10-NCH</t>
  </si>
  <si>
    <t>National Cyber Hubs</t>
  </si>
  <si>
    <t>National Security; Cybersecurity Infrastructure; Data Analysis; Coordination Nodes; Early Warning Systems; CSIRT Cooperation; Digital Sovereignty; ECCC</t>
  </si>
  <si>
    <t>This action focuses on the creation or strengthening of National Cyber Hubs that serve as central nodes for cybersecurity data analysis and coordination at the national level. These hubs are designed to monitor and manage cyber threats in close cooperation with national CSIRTs and critical infrastructure operators. The call supports the procurement of state-of-the-art tools and the development of capacities to issue early warnings and manage proactive defense measures. By standardizing national responses and improving domestic cyber-situational awareness, these hubs contribute to the overall security of the European digital ecosystem.</t>
  </si>
  <si>
    <t>Improved national situational awareness and early warning capabilities. Enhanced technical capacities of national entities to detect and respond to cyber attacks. Better integration of national cybersecurity efforts into the broader European cybersecurity framework.</t>
  </si>
  <si>
    <t>Funding for the setup or upgrade of national platforms for cyber threat monitoring. Activities include the deployment of advanced cybersecurity tools, training of specialized personnel, and fostering public-private partnerships to protect critical national infrastructure from digital threats.</t>
  </si>
  <si>
    <t>https://ec.europa.eu/info/funding-tenders/opportunities/portal/screen/opportunities/topic-details/DIGITAL-ECCC-2026-DEPLOY-CYBER-10-NCH</t>
  </si>
  <si>
    <t>Digital Europe Programme (DIGITAL)</t>
  </si>
  <si>
    <t>DIGITAL-2026-AI-09-SOLUTIONS-CANCER-STEP</t>
  </si>
  <si>
    <t>AI-powered solutions for cancer care (STEP)</t>
  </si>
  <si>
    <t>Cancer Care; Artificial Intelligence; Medical Imaging; Personalized Medicine; Clinical Decision Support; Oncology; Healthcare Innovation; Digital Health</t>
  </si>
  <si>
    <t xml:space="preserve">LS7 Prevention, Diagnosis and Treatment of Human Diseases; PE6 Computer Science and Informatics </t>
  </si>
  <si>
    <t>This call focuses on developing and deploying AI-powered tools to improve cancer prevention, diagnosis, and treatment. It aims to integrate large-scale health data, including medical imaging and genomic information, into clinical workflows. The goal is to provide healthcare professionals with advanced decision-support systems for personalized cancer care. By leveraging AI, the initiative seeks to enhance the accuracy of screening programs and optimize treatment plans for patients across Europe, contributing directly to the Europe’s Beating Cancer Plan.</t>
  </si>
  <si>
    <t>Deployment of AI-based clinical decision support systems for oncology. Improved patient outcomes through more accurate and early diagnosis. Validation of AI solutions in real-world clinical settings across multiple Member States.</t>
  </si>
  <si>
    <t>Development, testing, and validation of AI models using high-quality health datasets. Focus on interoperability of AI tools with existing hospital information systems and ensuring compliance with ethical standards and data protection regulations.</t>
  </si>
  <si>
    <t>https://ec.europa.eu/info/funding-tenders/opportunities/portal/screen/opportunities/topic-details/DIGITAL-2026-AI-09-SOLUTIONS-CANCER-STEP</t>
  </si>
  <si>
    <t>DIGITAL-2026-AI-09-DS-HEALTH-TOOL</t>
  </si>
  <si>
    <t>Tools for the European Health Data Space</t>
  </si>
  <si>
    <t>Health Data Space; EHDS; Data Interoperability; Health Informatics; Electronic Health Records; Data Governance; Patient Privacy; Digital Healthcare</t>
  </si>
  <si>
    <t>This call supports the development of technical tools and middleware necessary for the operationalization of the European Health Data Space (EHDS). The focus is on enabling the secure exchange and secondary use of health data for research, innovation, and policymaking. Funded projects will create solutions for data discovery, quality assessment, and secure processing environments. These tools aim to empower patients by giving them control over their health data while providing researchers with the infrastructure needed to access high-quality datasets across borders in a privacy-preserving manner.</t>
  </si>
  <si>
    <t>Availability of standardized tools for data holders and users within the EHDS. Improved cross-border access to health data for secondary purposes. Enhanced technical infrastructure for secure data processing and analysis.</t>
  </si>
  <si>
    <t>Development of open-source tools and platforms for health data management. Activities include creating metadata catalogs, data anonymization tools, and federated search capabilities to support the rollout of EHDS infrastructure.</t>
  </si>
  <si>
    <t>https://ec.europa.eu/info/funding-tenders/opportunities/portal/screen/opportunities/topic-details/DIGITAL-2026-AI-09-DS-HEALTH-TOOL</t>
  </si>
  <si>
    <t>DIGITAL-2026-AI-09-DS-HEALTH-STORAGE</t>
  </si>
  <si>
    <t>Secure storage and processing for health data</t>
  </si>
  <si>
    <t>Cloud Infrastructure; Health Data Storage; Edge Computing; Data Security; Genomic Data; Biobanking; Secure Processing; Digital Infrastructure</t>
  </si>
  <si>
    <t>This call targets the establishment of secure, high-capacity storage and processing infrastructures specifically designed for sensitive health data, such as genomic and proteomic datasets. It aims to bridge the gap between data generation and analysis by providing cloud-to-edge solutions that comply with strict European security standards. The infrastructure will support large-scale health research initiatives by offering scalable computing power and highly secure environments. The goal is to ensure that European health data remains within a sovereign digital framework while remaining accessible for breakthrough medical research and public health monitoring.</t>
  </si>
  <si>
    <t>Establishment of certified secure storage facilities for large-scale health datasets. Increased availability of high-performance computing for health research. Enhanced data sovereignty and security for European health information.</t>
  </si>
  <si>
    <t>Deployment of physical and virtual infrastructure for health data storage. Focus on energy-efficient cloud solutions, implementation of advanced encryption techniques, and ensuring high-speed connectivity between biobanks, hospitals, and research centers.</t>
  </si>
  <si>
    <t>https://ec.europa.eu/info/funding-tenders/opportunities/portal/screen/opportunities/topic-details/DIGITAL-2026-AI-09-DS-HEALTH-STORAGE</t>
  </si>
  <si>
    <t>DIGITAL-ECCC-2025-DEPLOY-CYBER-09-CYBERAI</t>
  </si>
  <si>
    <t>Cybersecure tools, technologies and services relying on AI</t>
  </si>
  <si>
    <t>Artificial Intelligence; Cyber Defense; Threat Detection; Adversarial AI; Incident Response; ECCC; Digital Sovereignty; Data Privacy</t>
  </si>
  <si>
    <t>This call supports the development and market deployment of advanced cybersecurity solutions that leverage Artificial Intelligence. The primary goal is to enhance threat detection, automated incident response, and predictive threat intelligence. It also focuses on the "security of AI" itself—ensuring that AI-driven defense systems are resilient against adversarial attacks and compliant with the EU AI Act and GDPR. The funding targets the uptake of these tools by both public and private entities to strengthen the Union's collective digital sovereignty.</t>
  </si>
  <si>
    <t>Increased availability of AI-powered cybersecurity tools. Enhanced resilience of AI systems against cyber threats. Improved threat intelligence and automated response capabilities for European critical infrastructure.</t>
  </si>
  <si>
    <t>Development and deployment of AI-based cybersecurity tools (e.g., for threat monitoring and self-healing systems). Includes risk assessments for AI technologies and ensuring compliance with the EU AI Act and data protection rules.</t>
  </si>
  <si>
    <t>https://ec.europa.eu/info/funding-tenders/opportunities/portal/screen/opportunities/topic-details/DIGITAL-ECCC-2025-DEPLOY-CYBER-09-CYBERAI</t>
  </si>
  <si>
    <t>Justice Programme (JUST)</t>
  </si>
  <si>
    <t>JUST-2026-JCOO</t>
  </si>
  <si>
    <t>Action grants to promote judicial cooperation in civil and criminal matters</t>
  </si>
  <si>
    <t>Judicial Cooperation; Civil Law; Criminal Law; Mutual Trust; Digital Justice; Legal Instruments; Cross-border Proceedings; Justice Programme</t>
  </si>
  <si>
    <t>This call focuses on strengthening judicial cooperation in civil and criminal matters across the EU. It supports projects that aim to facilitate the application of EU legal instruments and foster mutual trust between judicial authorities. Key priorities include the digitalization of justice, improving information exchange, and supporting national networks. The action targets the removal of obstacles to cross-border judicial proceedings, ensuring that EU law is applied consistently to protect citizens and businesses in a unified European area of justice.</t>
  </si>
  <si>
    <t>Improved application of EU law in civil and criminal matters. Enhanced cooperation between judicial authorities across Member States. Increased efficiency of cross-border judicial proceedings through digital tools.</t>
  </si>
  <si>
    <t>Transnational projects focusing on judicial cooperation, mutual recognition of judgments, and the exchange of best practices. Includes setting up and strengthening national networks active in judicial cooperation.</t>
  </si>
  <si>
    <t>https://ec.europa.eu/info/funding-tenders/opportunities/portal/screen/opportunities/topic-details/JUST-2026-JCOO</t>
  </si>
  <si>
    <t>ERC-2026-STG</t>
  </si>
  <si>
    <t>ERC Starting Grant</t>
  </si>
  <si>
    <t>Early Career Research; Scientific Excellence; Frontier Research; Independent Team; Ground-breaking Science; Bottom-up Funding</t>
  </si>
  <si>
    <t>Supporting early-career researchers (2-7 years post-PhD) to establish their own independent research team or programme. The selection is based strictly on the excellence of the Principal Investigator and the ground-breaking nature of the research proposal. It provides a platform for the next generation of research leaders in Europe to pursue high-risk/high-gain "frontier" research in any field.</t>
  </si>
  <si>
    <t>ERC Starting Grants</t>
  </si>
  <si>
    <t>Identification and support of the next generation of excellent research leaders. Advancement of knowledge through high-risk/high-gain research projects. Strengthening of the European research landscape across all disciplines.</t>
  </si>
  <si>
    <t>Investigator-driven frontier research projects in any field of science, engineering, or humanities. Projects are carried out by a single PI and their team in a host institution in the EU or Associated Countries.</t>
  </si>
  <si>
    <t>https://ec.europa.eu/info/funding-tenders/opportunities/portal/screen/opportunities/topic-details/ERC-2026-STG</t>
  </si>
  <si>
    <t>ERC-2026-COG</t>
  </si>
  <si>
    <t>ERC Consolidator Grant</t>
  </si>
  <si>
    <t>Mid-career Research; Independent Research; Excellence; High-risk High-gain; European Research Council; Research Leadership</t>
  </si>
  <si>
    <t>This bottom-up funding scheme supports mid-career researchers (7-12 years post-PhD) to consolidate their independent research teams. It covers any field of research and prioritizes high-risk/high-gain frontier science based solely on the criterion of scientific excellence. The grant allows researchers to pursue their most ambitious ideas and establish themselves as international leaders in their respective fields.</t>
  </si>
  <si>
    <t>ERC Consolidator Grants</t>
  </si>
  <si>
    <t>Consolidation of independent research teams and careers for mid-career scientists. Significant scientific breakthroughs in frontier research areas. Enhancement of Europe's competitive position in global research.</t>
  </si>
  <si>
    <t>Ambitious, investigator-led research projects that cross disciplinary boundaries. The focus is on consolidating the PI’s independence and strengthening their research team to tackle complex scientific problems.</t>
  </si>
  <si>
    <t>https://ec.europa.eu/info/funding-tenders/opportunities/portal/screen/opportunities/topic-details/ERC-2026-COG</t>
  </si>
  <si>
    <t>ERC-2026-SyG</t>
  </si>
  <si>
    <t>ERC Synergy Grant</t>
  </si>
  <si>
    <t>Collaborative Research; Synergy; Cross-disciplinary; Scientific Breakthrough; Research Group; Innovation; Frontier Science</t>
  </si>
  <si>
    <t>The Synergy Grant supports small groups of two to four Principal Investigators (PIs) to jointly address ambitious research problems that cannot be tackled by a single PI alone. The goal is to foster close interaction between different disciplines and expertise to yield transformative, ground-breaking, or even unpredictable scientific results. This "bottom-up" approach encourages researchers to push the boundaries of current knowledge through intense collaboration.</t>
  </si>
  <si>
    <t>ERC Synergy Grants</t>
  </si>
  <si>
    <t>Transformative research results at the forefront of science. New cross-disciplinary approaches and methodologies. Solution of complex research questions through the synergy of distinct PIs and their teams.</t>
  </si>
  <si>
    <t>Collaborative research projects involving 2 to 4 PIs. The PIs can be based in the same or different host institutions and should represent complementary expertise to address a single ambitious research problem.</t>
  </si>
  <si>
    <t>https://ec.europa.eu/info/funding-tenders/opportunities/portal/screen/opportunities/topic-details/ERC-2026-SyG</t>
  </si>
  <si>
    <t>DIGITAL-2026-EDIH-AC-09-COMPLETION-STEP</t>
  </si>
  <si>
    <t>Completion of the initial Network of European Digital Innovation Hubs</t>
  </si>
  <si>
    <t>EDIH; Digital Transformation; SMEs; Public Sector; AI Focus; Digital Innovation; Strategic Technologies; STEP Seal</t>
  </si>
  <si>
    <t>This call aims to complete the existing network of European Digital Innovation Hubs (EDIHs) by adding entities from countries associated with the Digital Europe Programme that have not yet participated. These hubs provide a complete set of services, including technical expertise and testing infrastructure, to support local SMEs and public sector organizations. A reinforced focus is placed on Artificial Intelligence and strategic technologies (STEP), helping regional ecosystems navigate their digital and green transitions effectively.</t>
  </si>
  <si>
    <t>Full geographical coverage of the EDIH network across all associated countries. Increased digital maturity of SMEs and public sector entities through localized support. Accelerated adoption of AI and green technologies.</t>
  </si>
  <si>
    <t>Setup of new EDIHs in specific geographical areas to provide services such as "test before invest," skills training, and support to find investments. Focus on local needs and integration with the wider EU EDIH network.</t>
  </si>
  <si>
    <t>https://ec.europa.eu/info/funding-tenders/opportunities/portal/screen/opportunities/topic-details/DIGITAL-2026-EDIH-AC-09-COMPLETION-STEP</t>
  </si>
  <si>
    <t>JUST-2025-JCOO</t>
  </si>
  <si>
    <t>Judicial Cooperation; Civil Law; Criminal Law; Mutual Trust; Digital Justice; Rule of Law; Cross-border Proceedings; EU Law</t>
  </si>
  <si>
    <t>The expected outcomes are increased capacity of national practitioners, improved cross-border cooperation, alignment of administrative practices with EU legislation, and better implementation of EU judicial cooperation instruments. It specifically seeks to improve the effectiveness of national justice systems and the enforcement of decisions through standardized digital methods and shared best practices.</t>
  </si>
  <si>
    <t>This call covers transnational projects on judicial cooperation in civil and criminal matters. Priorities include promoting judicial cooperation in civil matters (Priority 1), criminal matters (Priority 2), and the effective application of the EU acquis (Priority 3). Activities supported include analytical activities, data collection, statistics, surveys, research, mutual learning, identification and exchange of best practices, and the development of information tools.</t>
  </si>
  <si>
    <t>https://ec.europa.eu/info/funding-tenders/opportunities/portal/screen/opportunities/topic-details/JUST-2025-JCOO</t>
  </si>
  <si>
    <t>Spencer Foundation</t>
  </si>
  <si>
    <t>Large Research Grants on Education</t>
  </si>
  <si>
    <t>Education Research; Pedagogy; Educational Policy; Learning Environments; Scholarly Impact; Field-initiated Research; Methodology</t>
  </si>
  <si>
    <t>Supporting intellectually ambitious and technically sound education research, this program funds field-initiated projects that examine pressing questions in education. It values methodological diversity and aims for a lasting impact on educational scholarship, policy, and practice. The foundation supports research across diverse settings including classrooms, workplaces, and communities, encouraging scholars to pursue projects that lead to systemic improvements in learning and educational equity globally.</t>
  </si>
  <si>
    <t>Research Project Grant</t>
  </si>
  <si>
    <t>The program expects to advance understanding of educational processes and outcomes through rigorous studies that draw on different research traditions. Outcomes include the generation of new evidence-based knowledge relevant to the most pressing questions in education, the publication of high-impact scholarly works, and the development of research findings that can influence educational policy and institutional practice across diverse global contexts.</t>
  </si>
  <si>
    <t>Proposals must be for academic research projects that study education broadly conceived. The scope is field-initiated, meaning submissions are not restricted to specific topics, disciplines, or methods. Projects may last up to 5 years and must involve deep inquiry into learning environments such as classrooms, workplaces, or communities. Activities like program evaluations, professional development, or curriculum development are only eligible if they are secondary to a central research question.</t>
  </si>
  <si>
    <t>https://www.spencer.org/research-grants</t>
  </si>
  <si>
    <t>Simons Foundation</t>
  </si>
  <si>
    <t>Pivot Fellowship</t>
  </si>
  <si>
    <t>Cross-disciplinary; Faculty Fellowship; Research Transition; Mentorship; Scientific Innovation; Interdisciplinary Training; Career Development</t>
  </si>
  <si>
    <t>This fellowship supports established faculty researchers in transitioning to a new scientific discipline through a one-year mentored training experience. It aims to foster cross-disciplinary innovation by allowing experts in one field (e.g., physics or mathematics) to apply their talents to a new area (e.g., biology or neuroscience). The fellowship provides salary support and research funds for both the fellow and the mentor, facilitating a radical shift in research focus for mid-to-late career scientists.</t>
  </si>
  <si>
    <t>Fellowship / Training Grant</t>
  </si>
  <si>
    <t>The primary outcome is the successful transition of a high-achieving researcher into a new discipline, demonstrated by the acquisition of technical skills and the integration into a new research community. Long-term outcomes include the initiation of highly innovative, cross-disciplinary research programs and the potential for the fellow to apply for a multi-million dollar research award in the new field following the training year.</t>
  </si>
  <si>
    <t>The scope involves a one-year "training year" where the fellow is embedded in a mentor's lab to learn the culture and methodology of the new discipline. It is open to faculty in natural sciences, mathematics, engineering, data science, and computer science. The transition must be into a field distinct from the applicant's current area of expertise, and the fellowship requires institutional approval for a full year of leave to focus exclusively on the pivot.</t>
  </si>
  <si>
    <t>https://www.simonsfoundation.org/grant/pivot-fellowship/</t>
  </si>
  <si>
    <t>National Geographic Society</t>
  </si>
  <si>
    <t>Level I and Level II Explorer Grants</t>
  </si>
  <si>
    <t>Conservation; Exploration; Storytelling; Planetary Health; Wildlife Protection; Environmental Research; Geographic Science; Biodiversity</t>
  </si>
  <si>
    <t>National Geographic supports "Explorers" working on transformative ideas in conservation, education, research, and storytelling. Focus areas include Ocean, Land, Wildlife, Human Histories, and Planetary Health. Level I grants target those new to the network to establish their careers, while Level II is for established explorers seeking to push boundaries. Projects must demonstrate tangible impact and a healthier, more sustainable future through evidence-based actions and scientific inquiry.</t>
  </si>
  <si>
    <t>Project Grant</t>
  </si>
  <si>
    <t>Expected outcomes include quantifiable conservation results, the answering of clear scientific questions with measurable outcomes, and the creation of compelling storytelling content that inspires action. Projects are expected to push boundaries to achieve significant and tangible impact in their field, resulting in baselines for critical datasets, new conservation methodologies, or the protection of endangered species and ecosystems.</t>
  </si>
  <si>
    <t>The scope includes high-quality scientific projects, innovative conservation actions, and educational resources that inspire planetary protection. Level I grants (up to $20k) focus on career establishment and cohort-based mentorship. Level II grants (up to $100k) support boundary-pushing projects in focus areas: Ocean, Land, Wildlife, Human Histories, and Planetary Health. Technology projects supporting exploration or storytelling are also within scope.</t>
  </si>
  <si>
    <t>https://www.nationalgeographic.org/society/grants-and-investments/</t>
  </si>
  <si>
    <t>Volkswagen Stiftung</t>
  </si>
  <si>
    <t>Transformational Knowledge on Democracies under Change</t>
  </si>
  <si>
    <t>Democracy; Social Transformation; Transdisciplinary; Policy Recommendations; Civil Society; Governance; Political Science; State Organization</t>
  </si>
  <si>
    <t>This program addresses social challenges caused by changes in democratic structures. It encourages transdisciplinary research where scientists and civil society partners work together at eye level. The goal is to develop concrete recommendations for action to strengthen democratic institutions and address growing dissatisfaction with governance. By combining academic perspectives with real-world experiences, the initiative seeks to identify scientific questions that are relevant to current transformation processes of democracies under pressure.</t>
  </si>
  <si>
    <t>Collaborative Project</t>
  </si>
  <si>
    <t>The foundation expects both high-quality scientific publications and concrete recommendations for action. These outcomes should take the form of position papers, manuals, toolkits, or policy recommendations for target groups in politics and business. Further outcomes include the establishment of a transdisciplinary scientific community in democracy research and the testing of future scenarios for democratic state organization.</t>
  </si>
  <si>
    <t>The scope involves joint research between scientists (humanities/social sciences lead) and partners from outside academia (civil society, business, politics). Topics include democratic decision-making, the impact of digitalization/AI on democracy, and the interaction of culture/religion with democratic processes. Projects typically last 4 to 5 years and must demonstrate a transdisciplinary design that includes non-academic stakeholders throughout the research process.</t>
  </si>
  <si>
    <t>https://www.volkswagenstiftung.de/en/funding/funding-offer/transformational-knowledge-democracies-under-change-transdisciplinary-perspectives</t>
  </si>
  <si>
    <t>Change! Fellowships and Research Groups</t>
  </si>
  <si>
    <t>Transformation Processes; Postdoctoral Fellowship; Societal Change; Transdisciplinary; Knowledge Transfer; Research Leadership; Sustainable Design</t>
  </si>
  <si>
    <t>Aimed at postdoctoral researchers, this program supports those researching transformation processes to overcome current societal crises. It requires the mandatory involvement of 1-3 non-scientific partners to put knowledge into practice. The findings must be translated into recommendations for action to design and anchor transformation processes in society. The initiative seeks "research personalities" who bridge the gap between academic theory and societal practice to foster digital and green transitions.</t>
  </si>
  <si>
    <t>Outcomes include the development of concrete strategies and options for action to handle societal transformations. Expected results include fact-based solutions for vulnerabilities and planetary boundaries, the initiation of actual change processes in society, and the qualification of a new generation of leaders capable of transdisciplinary knowledge transfer. Scientific data must be made available via Open Data repositories.</t>
  </si>
  <si>
    <t>This funding supports postdoctoral researchers (2-15 years post-PhD) and junior professors from all disciplines. The scope centers on the joint research of transformation processes with non-academic partners (e.g., NGOs, associations, small businesses). Funding covers the researcher's own position and staff for up to 5 years. A transdisciplinary approach that integrates non-academic sources of knowledge into the research process is a prerequisite.</t>
  </si>
  <si>
    <t>https://www.volkswagenstiftung.de/en/funding/funding-offer/change-fellowships</t>
  </si>
  <si>
    <t>Pillar III - Innovative Europe</t>
  </si>
  <si>
    <t>HORIZON-EIC-2026-PATHFINDEROPEN</t>
  </si>
  <si>
    <t>EIC 2026 Pathfinder Open</t>
  </si>
  <si>
    <t>Deep-tech; Breakthrough technologies; High-risk/high-gain research; TRL 1-4; Proof of principle; Radical innovation; Bottom-up funding; Future technologies; Science-towards-technology; Collaborative research</t>
  </si>
  <si>
    <t>The EIC Pathfinder Open 2026 call supports the early-stage development of radically new, deep-tech technologies with the potential to create new markets or address global societal challenges. Adopting a "bottom-up" approach, it funds high-risk/high-gain research from TRL 1 to 4 across any field of science and technology. Projects must present a convincing long-term vision and a concrete science-towards-technology breakthrough. The expected output is a proof of principle validating the feasibility of the envisioned technology. Successful projects receive grants of up to €4 million, alongside access to tailored Business Acceleration Services to support future exploitation and scale-up.</t>
  </si>
  <si>
    <t>The expected outcome of a EIC Pathfinder project is the proof of principle that the main ideas of the envisioned future technology are feasible, thus validating its scientific and technological basis. Project results should include top-level scientific publications in open access. Moreover, EIC Pathfinder projects are expected to take the necessary steps to realise the identified potential for future commercialisation or for addressing a societal challenge, such as through adequate formal protection of the generated intellectual property.</t>
  </si>
  <si>
    <t>EIC Pathfinder Open provides funding for projects in any field of science or technology that rely on high-risk/high-gain scientific-towards-technology breakthrough foundations (including ‘deep-tech’). This call is open for projects in any field of science and technology. It focuses on early-stage research from TRL 1 to 4. Projects should be based on a collaborative, interdisciplinary approach and involve a consortium of at least three different independent legal entities.</t>
  </si>
  <si>
    <r>
      <rPr>
        <rFont val="Arial, sans-serif"/>
        <color rgb="FF1155CC"/>
        <sz val="9.0"/>
        <u/>
      </rPr>
      <t>https://ec.europa.eu/info/funding-tenders/opportunities/portal/screen/opportunities/topic-details/HORIZON-EIC-2026-PATHFINDEROPEN</t>
    </r>
  </si>
  <si>
    <t>HORIZON-MSCA-2026-DN-01</t>
  </si>
  <si>
    <t>MSCA Doctoral Networks 2026</t>
  </si>
  <si>
    <t>Doctoral Training; Researcher Mobility; Intersectoral Collaboration; Industrial Doctorates; Joint Doctorates; Horizon Europe; MSCA; Artificial Intelligence; Skills Development; Career Development</t>
  </si>
  <si>
    <t>The MSCA Doctoral Networks 2026 call supports international consortia from academic and non-academic sectors to implement high-quality doctoral programs. The initiative aims to train creative, entrepreneurial, and resilient researchers by providing them with enhanced career prospects and exposure to diverse sectors. By fostering international, intersectoral, and interdisciplinary mobility, the program strengthens the innovation capacity of the participating organizations. This cycle includes the RAISE DN pilot, focusing on AI in science. It offers specific tracks for Industrial Doctorates and Joint Doctorates to further bridge the gap between academia and the labor market.</t>
  </si>
  <si>
    <t>Expected outcomes include the delivery of highly skilled researchers with enhanced employability both within and outside academia. It aims to increase the research and innovation capacity of participating institutions through improved international networking and intersectoral cooperation. For doctoral candidates, outcomes involve acquiring new research and transferable skills, leading to improved career trajectories. The program also expects to enhance the global attractiveness of European research and training environments.</t>
  </si>
  <si>
    <t>The scope of Doctoral Networks is to fund programs that provide structured research training for doctoral candidates. Projects must involve a partnership of at least three independent legal entities, each established in a different EU Member State or Associated Country. The training must include exposure to the non-academic sector and promote the "Triple-i" dimension (International, Intersectoral, and Interdisciplinary). Specific scopes include Standard Doctoral Networks, Industrial Doctorates (where researchers spend 50% of time in the non-academic sector), and Joint Doctorates (resulting in joint/multiple degrees). A 2026 specific focus includes a pilot for AI-driven research.</t>
  </si>
  <si>
    <r>
      <rPr>
        <rFont val="&quot;Google Sans Text&quot;, sans-serif !important"/>
        <color rgb="FF1155CC"/>
        <sz val="11.0"/>
        <u/>
      </rPr>
      <t>https://marie-sklodowska-curie-actions.ec.europa.eu/funding/msca-doctoral-networks-2026</t>
    </r>
  </si>
</sst>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YYYY"/>
    <numFmt numFmtId="165" formatCode="d/m/yyyy"/>
  </numFmts>
  <fonts count="5">
    <font>
      <sz val="11.0"/>
      <color theme="1"/>
      <name val="Aptos Narrow"/>
      <scheme val="minor"/>
    </font>
    <font>
      <b/>
      <sz val="9.0"/>
      <color theme="0"/>
      <name val="Arial"/>
    </font>
    <font>
      <sz val="9.0"/>
      <color rgb="FF303030"/>
      <name val="Arial"/>
    </font>
    <font>
      <sz val="9.0"/>
      <color theme="1"/>
      <name val="Arial"/>
    </font>
    <font>
      <u/>
      <sz val="11.0"/>
      <color theme="10"/>
      <name val="Aptos Narrow"/>
    </font>
  </fonts>
  <fills count="3">
    <fill>
      <patternFill patternType="none"/>
    </fill>
    <fill>
      <patternFill patternType="lightGray"/>
    </fill>
    <fill>
      <patternFill patternType="solid">
        <fgColor rgb="FF073763"/>
        <bgColor rgb="FF073763"/>
      </patternFill>
    </fill>
  </fills>
  <borders count="16">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right style="thin">
        <color rgb="FF000000"/>
      </right>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thin">
        <color rgb="FF000000"/>
      </right>
      <top style="thin">
        <color rgb="FF000000"/>
      </top>
    </border>
    <border>
      <left style="thin">
        <color rgb="FF000000"/>
      </left>
      <top style="thin">
        <color rgb="FF000000"/>
      </top>
    </border>
    <border>
      <left style="medium">
        <color rgb="FFCCCCCC"/>
      </left>
      <right style="medium">
        <color rgb="FFCCCCCC"/>
      </right>
      <top style="medium">
        <color rgb="FFCCCCCC"/>
      </top>
      <bottom style="medium">
        <color rgb="FFCCCCCC"/>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border>
    <border>
      <right style="thin">
        <color rgb="FF000000"/>
      </right>
      <top style="thin">
        <color rgb="FF000000"/>
      </top>
    </border>
  </borders>
  <cellStyleXfs count="1">
    <xf borderId="0" fillId="0" fontId="0" numFmtId="0" applyAlignment="1" applyFont="1"/>
  </cellStyleXfs>
  <cellXfs count="39">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ont="1">
      <alignment horizontal="center" shrinkToFit="0" vertical="center" wrapText="1"/>
    </xf>
    <xf borderId="3" fillId="2" fontId="1" numFmtId="0" xfId="0" applyAlignment="1" applyBorder="1" applyFont="1">
      <alignment horizontal="center" shrinkToFit="0" vertical="center" wrapText="1"/>
    </xf>
    <xf borderId="4" fillId="0" fontId="2" numFmtId="0" xfId="0" applyAlignment="1" applyBorder="1" applyFont="1">
      <alignment shrinkToFit="0" vertical="center" wrapText="1"/>
    </xf>
    <xf borderId="5" fillId="0" fontId="2" numFmtId="0" xfId="0" applyAlignment="1" applyBorder="1" applyFont="1">
      <alignment shrinkToFit="0" vertical="center" wrapText="1"/>
    </xf>
    <xf borderId="6" fillId="0" fontId="2" numFmtId="0" xfId="0" applyAlignment="1" applyBorder="1" applyFont="1">
      <alignment shrinkToFit="0" vertical="center" wrapText="1"/>
    </xf>
    <xf borderId="6" fillId="0" fontId="2" numFmtId="0" xfId="0" applyAlignment="1" applyBorder="1" applyFont="1">
      <alignment shrinkToFit="0" vertical="top" wrapText="1"/>
    </xf>
    <xf borderId="6" fillId="0" fontId="2" numFmtId="164" xfId="0" applyAlignment="1" applyBorder="1" applyFont="1" applyNumberFormat="1">
      <alignment shrinkToFit="0" vertical="center" wrapText="1"/>
    </xf>
    <xf borderId="7" fillId="0" fontId="2" numFmtId="164" xfId="0" applyAlignment="1" applyBorder="1" applyFont="1" applyNumberFormat="1">
      <alignment shrinkToFit="0" vertical="center" wrapText="1"/>
    </xf>
    <xf borderId="8" fillId="0" fontId="3" numFmtId="0" xfId="0" applyAlignment="1" applyBorder="1" applyFont="1">
      <alignment shrinkToFit="0" vertical="top" wrapText="1"/>
    </xf>
    <xf borderId="9" fillId="0" fontId="3" numFmtId="0" xfId="0" applyAlignment="1" applyBorder="1" applyFont="1">
      <alignment shrinkToFit="0" vertical="top" wrapText="1"/>
    </xf>
    <xf borderId="10" fillId="0" fontId="4" numFmtId="49" xfId="0" applyAlignment="1" applyBorder="1" applyFont="1" applyNumberFormat="1">
      <alignment vertical="center"/>
    </xf>
    <xf borderId="8" fillId="0" fontId="2" numFmtId="0" xfId="0" applyAlignment="1" applyBorder="1" applyFont="1">
      <alignment shrinkToFit="0" vertical="center" wrapText="1"/>
    </xf>
    <xf borderId="8" fillId="0" fontId="2" numFmtId="0" xfId="0" applyAlignment="1" applyBorder="1" applyFont="1">
      <alignment shrinkToFit="0" vertical="top" wrapText="1"/>
    </xf>
    <xf borderId="8" fillId="0" fontId="2" numFmtId="164" xfId="0" applyAlignment="1" applyBorder="1" applyFont="1" applyNumberFormat="1">
      <alignment shrinkToFit="0" vertical="center" wrapText="1"/>
    </xf>
    <xf borderId="9" fillId="0" fontId="2" numFmtId="164" xfId="0" applyAlignment="1" applyBorder="1" applyFont="1" applyNumberFormat="1">
      <alignment shrinkToFit="0" vertical="center" wrapText="1"/>
    </xf>
    <xf borderId="0" fillId="0" fontId="3" numFmtId="0" xfId="0" applyAlignment="1" applyFont="1">
      <alignment shrinkToFit="0" vertical="top" wrapText="1"/>
    </xf>
    <xf borderId="11" fillId="0" fontId="2" numFmtId="0" xfId="0" applyAlignment="1" applyBorder="1" applyFont="1">
      <alignment shrinkToFit="0" vertical="center" wrapText="1"/>
    </xf>
    <xf borderId="11" fillId="0" fontId="2" numFmtId="0" xfId="0" applyAlignment="1" applyBorder="1" applyFont="1">
      <alignment shrinkToFit="0" vertical="top" wrapText="1"/>
    </xf>
    <xf borderId="11" fillId="0" fontId="2" numFmtId="164" xfId="0" applyAlignment="1" applyBorder="1" applyFont="1" applyNumberFormat="1">
      <alignment shrinkToFit="0" vertical="center" wrapText="1"/>
    </xf>
    <xf borderId="12" fillId="0" fontId="2" numFmtId="164" xfId="0" applyAlignment="1" applyBorder="1" applyFont="1" applyNumberFormat="1">
      <alignment shrinkToFit="0" vertical="center" wrapText="1"/>
    </xf>
    <xf borderId="6" fillId="0" fontId="3" numFmtId="0" xfId="0" applyAlignment="1" applyBorder="1" applyFont="1">
      <alignment shrinkToFit="0" vertical="top" wrapText="1"/>
    </xf>
    <xf borderId="7" fillId="0" fontId="3" numFmtId="0" xfId="0" applyAlignment="1" applyBorder="1" applyFont="1">
      <alignment shrinkToFit="0" vertical="top" wrapText="1"/>
    </xf>
    <xf borderId="11" fillId="0" fontId="3" numFmtId="0" xfId="0" applyAlignment="1" applyBorder="1" applyFont="1">
      <alignment shrinkToFit="0" vertical="top" wrapText="1"/>
    </xf>
    <xf borderId="12" fillId="0" fontId="3" numFmtId="0" xfId="0" applyAlignment="1" applyBorder="1" applyFont="1">
      <alignment shrinkToFit="0" vertical="top" wrapText="1"/>
    </xf>
    <xf borderId="13" fillId="0" fontId="3" numFmtId="0" xfId="0" applyAlignment="1" applyBorder="1" applyFont="1">
      <alignment shrinkToFit="0" vertical="top" wrapText="1"/>
    </xf>
    <xf borderId="14" fillId="0" fontId="3" numFmtId="0" xfId="0" applyAlignment="1" applyBorder="1" applyFont="1">
      <alignment shrinkToFit="0" vertical="top" wrapText="1"/>
    </xf>
    <xf borderId="13" fillId="0" fontId="2" numFmtId="0" xfId="0" applyAlignment="1" applyBorder="1" applyFont="1">
      <alignment shrinkToFit="0" vertical="center" wrapText="1"/>
    </xf>
    <xf borderId="13" fillId="0" fontId="2" numFmtId="0" xfId="0" applyAlignment="1" applyBorder="1" applyFont="1">
      <alignment shrinkToFit="0" vertical="top" wrapText="1"/>
    </xf>
    <xf borderId="13" fillId="0" fontId="2" numFmtId="164" xfId="0" applyAlignment="1" applyBorder="1" applyFont="1" applyNumberFormat="1">
      <alignment shrinkToFit="0" vertical="center" wrapText="1"/>
    </xf>
    <xf borderId="14" fillId="0" fontId="2" numFmtId="164" xfId="0" applyAlignment="1" applyBorder="1" applyFont="1" applyNumberFormat="1">
      <alignment shrinkToFit="0" vertical="center" wrapText="1"/>
    </xf>
    <xf borderId="12" fillId="0" fontId="2" numFmtId="0" xfId="0" applyAlignment="1" applyBorder="1" applyFont="1">
      <alignment shrinkToFit="0" vertical="center" wrapText="1"/>
    </xf>
    <xf borderId="9" fillId="0" fontId="2" numFmtId="0" xfId="0" applyAlignment="1" applyBorder="1" applyFont="1">
      <alignment shrinkToFit="0" vertical="center" wrapText="1"/>
    </xf>
    <xf borderId="11" fillId="0" fontId="2" numFmtId="165" xfId="0" applyAlignment="1" applyBorder="1" applyFont="1" applyNumberFormat="1">
      <alignment shrinkToFit="0" vertical="center" wrapText="1"/>
    </xf>
    <xf borderId="12" fillId="0" fontId="2" numFmtId="165" xfId="0" applyAlignment="1" applyBorder="1" applyFont="1" applyNumberFormat="1">
      <alignment shrinkToFit="0" vertical="center" wrapText="1"/>
    </xf>
    <xf borderId="15" fillId="0" fontId="2" numFmtId="0" xfId="0" applyAlignment="1" applyBorder="1" applyFont="1">
      <alignment shrinkToFit="0" vertical="center" wrapText="1"/>
    </xf>
    <xf borderId="8" fillId="0" fontId="2" numFmtId="165" xfId="0" applyAlignment="1" applyBorder="1" applyFont="1" applyNumberFormat="1">
      <alignment shrinkToFit="0" vertical="center" wrapText="1"/>
    </xf>
    <xf borderId="9" fillId="0" fontId="2" numFmtId="165" xfId="0" applyAlignment="1" applyBorder="1" applyFont="1" applyNumberFormat="1">
      <alignment shrinkToFit="0" vertical="center" wrapText="1"/>
    </xf>
  </cellXfs>
  <cellStyles count="1">
    <cellStyle xfId="0" name="Normal" builtinId="0"/>
  </cellStyles>
  <dxfs count="3">
    <dxf>
      <font/>
      <fill>
        <patternFill patternType="none"/>
      </fill>
      <border/>
    </dxf>
    <dxf>
      <font/>
      <fill>
        <patternFill patternType="solid">
          <fgColor theme="0"/>
          <bgColor theme="0"/>
        </patternFill>
      </fill>
      <border/>
    </dxf>
    <dxf>
      <font/>
      <fill>
        <patternFill patternType="solid">
          <fgColor rgb="FFD8D8D8"/>
          <bgColor rgb="FFD8D8D8"/>
        </patternFill>
      </fill>
      <border/>
    </dxf>
  </dxfs>
  <tableStyles count="2">
    <tableStyle count="3" pivot="0" name="Sheet1-style">
      <tableStyleElement dxfId="1" type="headerRow"/>
      <tableStyleElement dxfId="2" type="firstRowStripe"/>
      <tableStyleElement dxfId="1" type="secondRowStripe"/>
    </tableStyle>
    <tableStyle count="2" pivot="0" name="Sheet1-style 2">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Q473" displayName="Table_1" name="Table_1" id="1">
  <tableColumns count="17">
    <tableColumn name="Funding Body" id="1"/>
    <tableColumn name="Programme" id="2"/>
    <tableColumn name="Subprogramme" id="3"/>
    <tableColumn name="Discipline" id="4"/>
    <tableColumn name="Call ID" id="5"/>
    <tableColumn name="Call Title" id="6"/>
    <tableColumn name="Keywords" id="7"/>
    <tableColumn name="SSH Keywords" id="8"/>
    <tableColumn name="Research Fields" id="9"/>
    <tableColumn name="Summary" id="10"/>
    <tableColumn name="Type of Action" id="11"/>
    <tableColumn name="Single Stage or Two Stage" id="12"/>
    <tableColumn name="Opening date" id="13"/>
    <tableColumn name="Deadline(s)" id="14"/>
    <tableColumn name="Expected Outcomes" id="15"/>
    <tableColumn name="Scope" id="16"/>
    <tableColumn name="Call Website" id="17"/>
  </tableColumns>
  <tableStyleInfo name="Sheet1-style" showColumnStripes="0" showFirstColumn="1" showLastColumn="1" showRowStripes="1"/>
</table>
</file>

<file path=xl/tables/table2.xml><?xml version="1.0" encoding="utf-8"?>
<table xmlns="http://schemas.openxmlformats.org/spreadsheetml/2006/main" headerRowCount="0" ref="A474:Q474" displayName="Table_2" name="Table_2" id="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Sheet1-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google.com/search?q=https://ec.europa.eu/info/funding-tenders/opportunities/portal/screen/opportunities/topic-details/CREA-MEDIA-2026-FILMOVE&amp;authuser=2" TargetMode="External"/><Relationship Id="rId42" Type="http://schemas.openxmlformats.org/officeDocument/2006/relationships/hyperlink" Target="https://www.google.com/search?q=https://ec.europa.eu/info/funding-tenders/opportunities/portal/screen/opportunities/topic-details/CREA-MEDIA-2026-TVONLINE-2&amp;authuser=2" TargetMode="External"/><Relationship Id="rId41" Type="http://schemas.openxmlformats.org/officeDocument/2006/relationships/hyperlink" Target="https://www.google.com/search?q=https://ec.europa.eu/info/funding-tenders/opportunities/portal/screen/opportunities/topic-details/CREA-MEDIA-2026-TVONLINE-1&amp;authuser=2" TargetMode="External"/><Relationship Id="rId44" Type="http://schemas.openxmlformats.org/officeDocument/2006/relationships/hyperlink" Target="https://www.google.com/search?q=https://ec.europa.eu/info/funding-tenders/opportunities/portal/screen/opportunities/topic-details/DIGITAL-ECCC-2026-DEPLOY-CYBER-10-CBCH&amp;authuser=2" TargetMode="External"/><Relationship Id="rId43" Type="http://schemas.openxmlformats.org/officeDocument/2006/relationships/hyperlink" Target="https://www.google.com/search?q=https://ec.europa.eu/info/funding-tenders/opportunities/portal/screen/opportunities/topic-details/CREA-MEDIA-2026-TVONLINE-3&amp;authuser=2" TargetMode="External"/><Relationship Id="rId46" Type="http://schemas.openxmlformats.org/officeDocument/2006/relationships/hyperlink" Target="https://www.google.com/search?q=https://ec.europa.eu/info/funding-tenders/opportunities/portal/screen/opportunities/topic-details/DIGITAL-2026-AI-09-SOLUTIONS-CANCER-STEP&amp;authuser=2" TargetMode="External"/><Relationship Id="rId45" Type="http://schemas.openxmlformats.org/officeDocument/2006/relationships/hyperlink" Target="https://www.google.com/search?q=https://ec.europa.eu/info/funding-tenders/opportunities/portal/screen/opportunities/topic-details/DIGITAL-ECCC-2026-DEPLOY-CYBER-10-NCH&amp;authuser=2" TargetMode="External"/><Relationship Id="rId1" Type="http://schemas.openxmlformats.org/officeDocument/2006/relationships/hyperlink" Target="https://ec.europa.eu/info/funding-tenders/opportunities/portal/screen/opportunities/topic-details/horizon-hlth-2026-01-stayhlth-02" TargetMode="External"/><Relationship Id="rId2" Type="http://schemas.openxmlformats.org/officeDocument/2006/relationships/hyperlink" Target="https://ec.europa.eu/info/funding-tenders/opportunities/portal/screen/opportunities/topic-details/horizon-hlth-2026-01-stayhlth-03" TargetMode="External"/><Relationship Id="rId3" Type="http://schemas.openxmlformats.org/officeDocument/2006/relationships/hyperlink" Target="https://ec.europa.eu/info/funding-tenders/opportunities/portal/screen/opportunities/topic-details/horizon-hlth-2027-01-stayhlth-01"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 Id="rId48" Type="http://schemas.openxmlformats.org/officeDocument/2006/relationships/hyperlink" Target="https://www.google.com/search?q=https://ec.europa.eu/info/funding-tenders/opportunities/portal/screen/opportunities/topic-details/DIGITAL-2026-AI-09-DS-HEALTH-STORAGE&amp;authuser=2" TargetMode="External"/><Relationship Id="rId47" Type="http://schemas.openxmlformats.org/officeDocument/2006/relationships/hyperlink" Target="https://www.google.com/search?q=https://ec.europa.eu/info/funding-tenders/opportunities/portal/screen/opportunities/topic-details/DIGITAL-2026-AI-09-DS-HEALTH-TOOL&amp;authuser=2" TargetMode="External"/><Relationship Id="rId49" Type="http://schemas.openxmlformats.org/officeDocument/2006/relationships/hyperlink" Target="https://www.google.com/search?q=https://ec.europa.eu/info/funding-tenders/opportunities/portal/screen/opportunities/topic-details/DIGITAL-ECCC-2025-DEPLOY-CYBER-09-CYBERAI&amp;authuser=2" TargetMode="External"/><Relationship Id="rId5" Type="http://schemas.openxmlformats.org/officeDocument/2006/relationships/hyperlink" Target="https://ec.europa.eu/info/funding-tenders/opportunities/portal/screen/opportunities/topic-details/horizon-hlth-2026-01-envhlth-04"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7" Type="http://schemas.openxmlformats.org/officeDocument/2006/relationships/hyperlink" Target="https://wellcome.org/research-funding/schemes/genomics-in-context-awards" TargetMode="External"/><Relationship Id="rId8" Type="http://schemas.openxmlformats.org/officeDocument/2006/relationships/hyperlink" Target="https://isrf.org/competitions/fg12" TargetMode="External"/><Relationship Id="rId31" Type="http://schemas.openxmlformats.org/officeDocument/2006/relationships/hyperlink" Target="https://ec.europa.eu/info/funding-tenders/opportunities/portal/screen/opportunities/topic-details/DIGITAL-2026-AI-09-VIRTUAL-TESTBEDS-STEP" TargetMode="External"/><Relationship Id="rId30" Type="http://schemas.openxmlformats.org/officeDocument/2006/relationships/hyperlink" Target="https://ec.europa.eu/info/funding-tenders/opportunities/portal/screen/opportunities/topic-details/just-2026-jtra" TargetMode="External"/><Relationship Id="rId33" Type="http://schemas.openxmlformats.org/officeDocument/2006/relationships/hyperlink" Target="https://www.interregnextmed.eu/apply-for-funding/second-call-for-proposals/submit-a-project-proposal/" TargetMode="External"/><Relationship Id="rId32" Type="http://schemas.openxmlformats.org/officeDocument/2006/relationships/hyperlink" Target="https://ec.europa.eu/info/funding-tenders/opportunities/docs/2021-2027/amif/wp-call/2025/call-fiche_amif-2025-tf2-ag-inte_en.pdf" TargetMode="External"/><Relationship Id="rId35" Type="http://schemas.openxmlformats.org/officeDocument/2006/relationships/hyperlink" Target="https://www.google.com/search?q=https://ec.europa.eu/info/funding-tenders/opportunities/portal/screen/opportunities/topic-details/CREA-CULT-2026-COOP-2&amp;authuser=2" TargetMode="External"/><Relationship Id="rId34" Type="http://schemas.openxmlformats.org/officeDocument/2006/relationships/hyperlink" Target="https://ec.europa.eu/info/funding-tenders/opportunities/portal/screen/opportunities/topic-details/HORIZON-RAISE-2026-01-03" TargetMode="External"/><Relationship Id="rId37" Type="http://schemas.openxmlformats.org/officeDocument/2006/relationships/hyperlink" Target="https://www.google.com/search?q=https://ec.europa.eu/info/funding-tenders/opportunities/portal/screen/opportunities/topic-details/CREA-CULT-2026-COOP-1&amp;authuser=2" TargetMode="External"/><Relationship Id="rId36" Type="http://schemas.openxmlformats.org/officeDocument/2006/relationships/hyperlink" Target="https://www.google.com/search?q=https://ec.europa.eu/info/funding-tenders/opportunities/portal/screen/opportunities/topic-details/CREA-MEDIA-2026-TRAINING&amp;authuser=2" TargetMode="External"/><Relationship Id="rId39" Type="http://schemas.openxmlformats.org/officeDocument/2006/relationships/hyperlink" Target="https://www.google.com/search?q=https://ec.europa.eu/info/funding-tenders/opportunities/portal/screen/opportunities/topic-details/CREA-MEDIA-2026-FILMDIST&amp;authuser=2" TargetMode="External"/><Relationship Id="rId38" Type="http://schemas.openxmlformats.org/officeDocument/2006/relationships/hyperlink" Target="https://www.google.com/search?q=https://ec.europa.eu/info/funding-tenders/opportunities/portal/screen/opportunities/topic-details/CREA-MEDIA-2026-FESTNET&amp;authuser=2" TargetMode="External"/><Relationship Id="rId62" Type="http://schemas.openxmlformats.org/officeDocument/2006/relationships/hyperlink" Target="https://marie-sklodowska-curie-actions.ec.europa.eu/funding/msca-doctoral-networks-2026" TargetMode="External"/><Relationship Id="rId61" Type="http://schemas.openxmlformats.org/officeDocument/2006/relationships/hyperlink" Target="https://ec.europa.eu/info/funding-tenders/opportunities/portal/screen/opportunities/topic-details/HORIZON-EIC-2026-PATHFINDEROPEN" TargetMode="External"/><Relationship Id="rId20" Type="http://schemas.openxmlformats.org/officeDocument/2006/relationships/hyperlink" Target="https://www.febs.org/funding/fellowships/short-term-fellowships/" TargetMode="External"/><Relationship Id="rId63" Type="http://schemas.openxmlformats.org/officeDocument/2006/relationships/drawing" Target="../drawings/drawing1.xml"/><Relationship Id="rId22" Type="http://schemas.openxmlformats.org/officeDocument/2006/relationships/hyperlink" Target="https://www.google.com/search?q=https://ec.europa.eu/info/funding-tenders/opportunities/portal/screen/opportunities/topic-details/CERV-2026-CITIZENS-CIV-ENGAGEMENT-DISINFOFIMI&amp;authuser=2" TargetMode="External"/><Relationship Id="rId66" Type="http://schemas.openxmlformats.org/officeDocument/2006/relationships/table" Target="../tables/table1.xml"/><Relationship Id="rId21" Type="http://schemas.openxmlformats.org/officeDocument/2006/relationships/hyperlink" Target="https://eacr.org/eacr-fellowships/eacr-astrazeneca-postdoctoral-fellowships" TargetMode="External"/><Relationship Id="rId24" Type="http://schemas.openxmlformats.org/officeDocument/2006/relationships/hyperlink" Target="https://www.google.com/search?q=https://ec.europa.eu/info/funding-tenders/opportunities/portal/screen/opportunities/topic-details/CERV-2026-CITIZENS-CIV-ENGAGEMENT-BEYOND-ELECTIONS&amp;authuser=2" TargetMode="External"/><Relationship Id="rId23" Type="http://schemas.openxmlformats.org/officeDocument/2006/relationships/hyperlink" Target="https://www.google.com/search?q=https://ec.europa.eu/info/funding-tenders/opportunities/portal/screen/opportunities/topic-details/CERV-2026-CITIZENS-CIV-ENGAGEMENT-ELECTIONS&amp;authuser=2" TargetMode="External"/><Relationship Id="rId67" Type="http://schemas.openxmlformats.org/officeDocument/2006/relationships/table" Target="../tables/table2.xml"/><Relationship Id="rId60" Type="http://schemas.openxmlformats.org/officeDocument/2006/relationships/hyperlink" Target="https://www.volkswagenstiftung.de/en/funding/funding-offer/change-fellowships" TargetMode="External"/><Relationship Id="rId26" Type="http://schemas.openxmlformats.org/officeDocument/2006/relationships/hyperlink" Target="https://eit-hei.eu/funding-support/funding-opportunities/open-calls/call-for-proposals-2025/" TargetMode="External"/><Relationship Id="rId25" Type="http://schemas.openxmlformats.org/officeDocument/2006/relationships/hyperlink" Target="https://www.google.com/search?q=https://ec.europa.eu/info/funding-tenders/opportunities/portal/screen/opportunities/topic-details/CREA-CROSS-2026-MEDIALITERACY&amp;authuser=2" TargetMode="External"/><Relationship Id="rId28" Type="http://schemas.openxmlformats.org/officeDocument/2006/relationships/hyperlink" Target="https://www.google.com/search?q=https://ec.europa.eu/info/funding-tenders/opportunities/portal/screen/opportunities/topic-details/CERV-2025-DAPHNE&amp;authuser=2" TargetMode="External"/><Relationship Id="rId27" Type="http://schemas.openxmlformats.org/officeDocument/2006/relationships/hyperlink" Target="https://schmidtsciences.smapply.io/prog/science_of_trustworthy_ai_rfp_2026/" TargetMode="External"/><Relationship Id="rId29" Type="http://schemas.openxmlformats.org/officeDocument/2006/relationships/hyperlink" Target="https://www.google.com/search?q=https://ec.europa.eu/info/funding-tenders/opportunities/portal/screen/opportunities/topic-details/HORIZON-MSCA-2026-COFUND-01-01&amp;authuser=2" TargetMode="External"/><Relationship Id="rId51" Type="http://schemas.openxmlformats.org/officeDocument/2006/relationships/hyperlink" Target="https://www.google.com/search?q=https://ec.europa.eu/info/funding-tenders/opportunities/portal/screen/opportunities/topic-details/ERC-2026-STG&amp;authuser=2" TargetMode="External"/><Relationship Id="rId50" Type="http://schemas.openxmlformats.org/officeDocument/2006/relationships/hyperlink" Target="https://www.google.com/search?q=https://ec.europa.eu/info/funding-tenders/opportunities/portal/screen/opportunities/topic-details/JUST-2026-JCOO&amp;authuser=2" TargetMode="External"/><Relationship Id="rId53" Type="http://schemas.openxmlformats.org/officeDocument/2006/relationships/hyperlink" Target="https://www.google.com/search?q=https://ec.europa.eu/info/funding-tenders/opportunities/portal/screen/opportunities/topic-details/ERC-2026-SyG&amp;authuser=2" TargetMode="External"/><Relationship Id="rId52" Type="http://schemas.openxmlformats.org/officeDocument/2006/relationships/hyperlink" Target="https://www.google.com/search?q=https://ec.europa.eu/info/funding-tenders/opportunities/portal/screen/opportunities/topic-details/ERC-2026-COG&amp;authuser=2" TargetMode="External"/><Relationship Id="rId11" Type="http://schemas.openxmlformats.org/officeDocument/2006/relationships/hyperlink" Target="https://www.worldwidecancerresearch.org/for-researchers/our-funding-criteria/" TargetMode="External"/><Relationship Id="rId55" Type="http://schemas.openxmlformats.org/officeDocument/2006/relationships/hyperlink" Target="https://www.google.com/search?q=https://ec.europa.eu/info/funding-tenders/opportunities/portal/screen/opportunities/topic-details/JUST-2025-JCOO&amp;authuser=2" TargetMode="External"/><Relationship Id="rId10" Type="http://schemas.openxmlformats.org/officeDocument/2006/relationships/hyperlink" Target="https://www.povertyactionlab.org/initiative/evidence-ai-health-evah-rfp" TargetMode="External"/><Relationship Id="rId54" Type="http://schemas.openxmlformats.org/officeDocument/2006/relationships/hyperlink" Target="https://www.google.com/search?q=https://ec.europa.eu/info/funding-tenders/opportunities/portal/screen/opportunities/topic-details/DIGITAL-2026-EDIH-AC-09-COMPLETION-STEP&amp;authuser=2" TargetMode="External"/><Relationship Id="rId13" Type="http://schemas.openxmlformats.org/officeDocument/2006/relationships/hyperlink" Target="https://ec.europa.eu/info/funding-tenders/opportunities/docs/2021-2027/cerv/wp-call/2026/call-fiche_cerv-2026-ge_en.pdf" TargetMode="External"/><Relationship Id="rId57" Type="http://schemas.openxmlformats.org/officeDocument/2006/relationships/hyperlink" Target="https://www.simonsfoundation.org/grant/pivot-fellowship/" TargetMode="External"/><Relationship Id="rId12" Type="http://schemas.openxmlformats.org/officeDocument/2006/relationships/hyperlink" Target="https://ec.europa.eu/info/funding-tenders/opportunities/docs/2021-2027/cerv/wp-call/2026/call-fiche_cerv-2026-ge_en.pdf" TargetMode="External"/><Relationship Id="rId56" Type="http://schemas.openxmlformats.org/officeDocument/2006/relationships/hyperlink" Target="https://www.spencer.org/research-grants" TargetMode="External"/><Relationship Id="rId15" Type="http://schemas.openxmlformats.org/officeDocument/2006/relationships/hyperlink" Target="https://ec.europa.eu/info/funding-tenders/opportunities/docs/2021-2027/cerv/wp-call/2026/call-fiche_cerv-2026-ge_en.pdf" TargetMode="External"/><Relationship Id="rId59" Type="http://schemas.openxmlformats.org/officeDocument/2006/relationships/hyperlink" Target="https://www.volkswagenstiftung.de/en/funding/funding-offer/transformational-knowledge-democracies-under-change-transdisciplinary-perspectives" TargetMode="External"/><Relationship Id="rId14" Type="http://schemas.openxmlformats.org/officeDocument/2006/relationships/hyperlink" Target="https://ec.europa.eu/info/funding-tenders/opportunities/docs/2021-2027/cerv/wp-call/2026/call-fiche_cerv-2026-ge_en.pdf" TargetMode="External"/><Relationship Id="rId58" Type="http://schemas.openxmlformats.org/officeDocument/2006/relationships/hyperlink" Target="https://www.nationalgeographic.org/society/grants-and-investments/" TargetMode="External"/><Relationship Id="rId17" Type="http://schemas.openxmlformats.org/officeDocument/2006/relationships/hyperlink" Target="https://www.embo.org/funding/fellowships-grants-and-career-support/postdoctoral-fellowships/application/" TargetMode="External"/><Relationship Id="rId16" Type="http://schemas.openxmlformats.org/officeDocument/2006/relationships/hyperlink" Target="https://ec.europa.eu/info/funding-tenders/opportunities/docs/2021-2027/erasmus/wp-call/2026/call-fiche_erasmus-edu-2026-pol-exp_en.pdf" TargetMode="External"/><Relationship Id="rId19" Type="http://schemas.openxmlformats.org/officeDocument/2006/relationships/hyperlink" Target="https://eupahw.ptj.de/call2" TargetMode="External"/><Relationship Id="rId18" Type="http://schemas.openxmlformats.org/officeDocument/2006/relationships/hyperlink" Target="https://beready4pandemics.eu/joint-transnational-calls/"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88"/>
    <col customWidth="1" min="2" max="2" width="12.63"/>
    <col customWidth="1" min="3" max="3" width="20.13"/>
    <col customWidth="1" min="4" max="4" width="15.88"/>
    <col customWidth="1" min="5" max="5" width="26.63"/>
    <col customWidth="1" min="6" max="6" width="28.5"/>
    <col customWidth="1" min="7" max="7" width="36.38"/>
    <col customWidth="1" min="8" max="8" width="21.13"/>
    <col customWidth="1" min="9" max="9" width="25.0"/>
    <col customWidth="1" min="10" max="10" width="38.38"/>
    <col customWidth="1" min="11" max="12" width="13.5"/>
    <col customWidth="1" min="13" max="13" width="16.63"/>
    <col customWidth="1" min="14" max="14" width="28.5"/>
    <col customWidth="1" min="15" max="16" width="55.0"/>
    <col customWidth="1" min="17" max="17" width="127.13"/>
    <col customWidth="1" min="18" max="26" width="8.63"/>
  </cols>
  <sheetData>
    <row r="1" ht="66.0" customHeight="1">
      <c r="A1" s="1" t="s">
        <v>0</v>
      </c>
      <c r="B1" s="1" t="s">
        <v>1</v>
      </c>
      <c r="C1" s="1" t="s">
        <v>2</v>
      </c>
      <c r="D1" s="1" t="s">
        <v>3</v>
      </c>
      <c r="E1" s="2" t="s">
        <v>4</v>
      </c>
      <c r="F1" s="2" t="s">
        <v>5</v>
      </c>
      <c r="G1" s="2" t="s">
        <v>6</v>
      </c>
      <c r="H1" s="2" t="s">
        <v>7</v>
      </c>
      <c r="I1" s="2" t="s">
        <v>8</v>
      </c>
      <c r="J1" s="2" t="s">
        <v>9</v>
      </c>
      <c r="K1" s="2" t="s">
        <v>10</v>
      </c>
      <c r="L1" s="2" t="s">
        <v>11</v>
      </c>
      <c r="M1" s="2" t="s">
        <v>12</v>
      </c>
      <c r="N1" s="3" t="s">
        <v>13</v>
      </c>
      <c r="O1" s="2" t="s">
        <v>14</v>
      </c>
      <c r="P1" s="3" t="s">
        <v>15</v>
      </c>
      <c r="Q1" s="2" t="s">
        <v>16</v>
      </c>
    </row>
    <row r="2" ht="66.0" customHeight="1">
      <c r="A2" s="4" t="s">
        <v>17</v>
      </c>
      <c r="B2" s="4" t="s">
        <v>18</v>
      </c>
      <c r="C2" s="4" t="s">
        <v>19</v>
      </c>
      <c r="D2" s="5" t="s">
        <v>20</v>
      </c>
      <c r="E2" s="6" t="s">
        <v>21</v>
      </c>
      <c r="F2" s="6" t="s">
        <v>22</v>
      </c>
      <c r="G2" s="6" t="s">
        <v>23</v>
      </c>
      <c r="H2" s="7" t="s">
        <v>24</v>
      </c>
      <c r="I2" s="7" t="s">
        <v>25</v>
      </c>
      <c r="J2" s="7" t="s">
        <v>26</v>
      </c>
      <c r="K2" s="6" t="s">
        <v>27</v>
      </c>
      <c r="L2" s="6" t="s">
        <v>28</v>
      </c>
      <c r="M2" s="8">
        <v>46063.0</v>
      </c>
      <c r="N2" s="9">
        <v>46128.0</v>
      </c>
      <c r="O2" s="10" t="s">
        <v>29</v>
      </c>
      <c r="P2" s="11" t="s">
        <v>30</v>
      </c>
      <c r="Q2" s="12" t="s">
        <v>31</v>
      </c>
    </row>
    <row r="3" ht="66.0" customHeight="1">
      <c r="A3" s="4" t="s">
        <v>17</v>
      </c>
      <c r="B3" s="4" t="s">
        <v>18</v>
      </c>
      <c r="C3" s="4" t="s">
        <v>19</v>
      </c>
      <c r="D3" s="5" t="s">
        <v>32</v>
      </c>
      <c r="E3" s="13" t="s">
        <v>33</v>
      </c>
      <c r="F3" s="13" t="s">
        <v>34</v>
      </c>
      <c r="G3" s="13" t="s">
        <v>35</v>
      </c>
      <c r="H3" s="14" t="s">
        <v>36</v>
      </c>
      <c r="I3" s="14" t="s">
        <v>37</v>
      </c>
      <c r="J3" s="14" t="s">
        <v>38</v>
      </c>
      <c r="K3" s="13" t="s">
        <v>39</v>
      </c>
      <c r="L3" s="13" t="s">
        <v>28</v>
      </c>
      <c r="M3" s="15">
        <v>46063.0</v>
      </c>
      <c r="N3" s="16">
        <v>46128.0</v>
      </c>
      <c r="O3" s="17" t="s">
        <v>40</v>
      </c>
      <c r="P3" s="17" t="s">
        <v>41</v>
      </c>
      <c r="Q3" s="12" t="s">
        <v>42</v>
      </c>
    </row>
    <row r="4" ht="66.0" customHeight="1">
      <c r="A4" s="4" t="s">
        <v>17</v>
      </c>
      <c r="B4" s="4" t="s">
        <v>18</v>
      </c>
      <c r="C4" s="4" t="s">
        <v>19</v>
      </c>
      <c r="D4" s="5" t="s">
        <v>32</v>
      </c>
      <c r="E4" s="18" t="s">
        <v>43</v>
      </c>
      <c r="F4" s="18" t="s">
        <v>44</v>
      </c>
      <c r="G4" s="18" t="s">
        <v>45</v>
      </c>
      <c r="H4" s="19" t="s">
        <v>46</v>
      </c>
      <c r="I4" s="19" t="s">
        <v>47</v>
      </c>
      <c r="J4" s="19" t="s">
        <v>48</v>
      </c>
      <c r="K4" s="18" t="s">
        <v>27</v>
      </c>
      <c r="L4" s="18" t="s">
        <v>28</v>
      </c>
      <c r="M4" s="20">
        <v>46428.0</v>
      </c>
      <c r="N4" s="21">
        <v>46490.0</v>
      </c>
      <c r="O4" s="22" t="s">
        <v>49</v>
      </c>
      <c r="P4" s="23" t="s">
        <v>50</v>
      </c>
      <c r="Q4" s="12" t="s">
        <v>51</v>
      </c>
    </row>
    <row r="5" ht="66.0" customHeight="1">
      <c r="A5" s="4" t="s">
        <v>17</v>
      </c>
      <c r="B5" s="4" t="s">
        <v>18</v>
      </c>
      <c r="C5" s="4" t="s">
        <v>19</v>
      </c>
      <c r="D5" s="5" t="s">
        <v>32</v>
      </c>
      <c r="E5" s="6" t="s">
        <v>52</v>
      </c>
      <c r="F5" s="6" t="s">
        <v>53</v>
      </c>
      <c r="G5" s="6" t="s">
        <v>54</v>
      </c>
      <c r="H5" s="7" t="s">
        <v>55</v>
      </c>
      <c r="I5" s="7" t="s">
        <v>56</v>
      </c>
      <c r="J5" s="7" t="s">
        <v>57</v>
      </c>
      <c r="K5" s="6" t="s">
        <v>27</v>
      </c>
      <c r="L5" s="6" t="s">
        <v>28</v>
      </c>
      <c r="M5" s="8">
        <v>46063.0</v>
      </c>
      <c r="N5" s="9">
        <v>46128.0</v>
      </c>
      <c r="O5" s="24" t="s">
        <v>58</v>
      </c>
      <c r="P5" s="25" t="s">
        <v>59</v>
      </c>
      <c r="Q5" s="12" t="s">
        <v>60</v>
      </c>
    </row>
    <row r="6" ht="66.0" customHeight="1">
      <c r="A6" s="4" t="s">
        <v>17</v>
      </c>
      <c r="B6" s="4" t="s">
        <v>18</v>
      </c>
      <c r="C6" s="4" t="s">
        <v>19</v>
      </c>
      <c r="D6" s="5" t="s">
        <v>32</v>
      </c>
      <c r="E6" s="18" t="s">
        <v>61</v>
      </c>
      <c r="F6" s="18" t="s">
        <v>62</v>
      </c>
      <c r="G6" s="18" t="s">
        <v>63</v>
      </c>
      <c r="H6" s="19" t="s">
        <v>64</v>
      </c>
      <c r="I6" s="19" t="s">
        <v>65</v>
      </c>
      <c r="J6" s="19" t="s">
        <v>66</v>
      </c>
      <c r="K6" s="18" t="s">
        <v>27</v>
      </c>
      <c r="L6" s="18" t="s">
        <v>28</v>
      </c>
      <c r="M6" s="20">
        <v>46063.0</v>
      </c>
      <c r="N6" s="21">
        <v>46128.0</v>
      </c>
      <c r="O6" s="10" t="s">
        <v>67</v>
      </c>
      <c r="P6" s="11" t="s">
        <v>68</v>
      </c>
      <c r="Q6" s="12" t="s">
        <v>69</v>
      </c>
    </row>
    <row r="7" ht="66.0" customHeight="1">
      <c r="A7" s="4" t="s">
        <v>17</v>
      </c>
      <c r="B7" s="4" t="s">
        <v>18</v>
      </c>
      <c r="C7" s="4" t="s">
        <v>19</v>
      </c>
      <c r="D7" s="5" t="s">
        <v>32</v>
      </c>
      <c r="E7" s="13" t="s">
        <v>70</v>
      </c>
      <c r="F7" s="13" t="s">
        <v>71</v>
      </c>
      <c r="G7" s="13" t="s">
        <v>72</v>
      </c>
      <c r="H7" s="14"/>
      <c r="I7" s="14" t="s">
        <v>73</v>
      </c>
      <c r="J7" s="14" t="s">
        <v>74</v>
      </c>
      <c r="K7" s="13" t="s">
        <v>39</v>
      </c>
      <c r="L7" s="13" t="s">
        <v>28</v>
      </c>
      <c r="M7" s="15">
        <v>46063.0</v>
      </c>
      <c r="N7" s="16">
        <v>46128.0</v>
      </c>
      <c r="O7" s="17" t="s">
        <v>75</v>
      </c>
      <c r="P7" s="17" t="s">
        <v>76</v>
      </c>
      <c r="Q7" s="12" t="str">
        <f t="shared" ref="Q7:Q417" si="1">"https://ec.europa.eu/info/funding-tenders/opportunities/portal/screen/opportunities/topic-details/" &amp; E7</f>
        <v>https://ec.europa.eu/info/funding-tenders/opportunities/portal/screen/opportunities/topic-details/HORIZON-HLTH-2026-01-ENVHLTH-05</v>
      </c>
    </row>
    <row r="8" ht="66.0" customHeight="1">
      <c r="A8" s="4" t="s">
        <v>17</v>
      </c>
      <c r="B8" s="4" t="s">
        <v>18</v>
      </c>
      <c r="C8" s="4" t="s">
        <v>19</v>
      </c>
      <c r="D8" s="5" t="s">
        <v>32</v>
      </c>
      <c r="E8" s="18" t="s">
        <v>77</v>
      </c>
      <c r="F8" s="18" t="s">
        <v>78</v>
      </c>
      <c r="G8" s="18" t="s">
        <v>79</v>
      </c>
      <c r="H8" s="19" t="s">
        <v>80</v>
      </c>
      <c r="I8" s="19" t="s">
        <v>81</v>
      </c>
      <c r="J8" s="19" t="s">
        <v>82</v>
      </c>
      <c r="K8" s="18" t="s">
        <v>27</v>
      </c>
      <c r="L8" s="18" t="s">
        <v>28</v>
      </c>
      <c r="M8" s="20">
        <v>46428.0</v>
      </c>
      <c r="N8" s="21">
        <v>46490.0</v>
      </c>
      <c r="O8" s="17" t="s">
        <v>83</v>
      </c>
      <c r="P8" s="17" t="s">
        <v>84</v>
      </c>
      <c r="Q8" s="12" t="str">
        <f t="shared" si="1"/>
        <v>https://ec.europa.eu/info/funding-tenders/opportunities/portal/screen/opportunities/topic-details/HORIZON-HLTH-2027-01-ENVHLTH-02</v>
      </c>
    </row>
    <row r="9" ht="66.0" customHeight="1">
      <c r="A9" s="4" t="s">
        <v>17</v>
      </c>
      <c r="B9" s="4" t="s">
        <v>18</v>
      </c>
      <c r="C9" s="4" t="s">
        <v>19</v>
      </c>
      <c r="D9" s="5" t="s">
        <v>32</v>
      </c>
      <c r="E9" s="18" t="s">
        <v>85</v>
      </c>
      <c r="F9" s="18" t="s">
        <v>86</v>
      </c>
      <c r="G9" s="18" t="s">
        <v>87</v>
      </c>
      <c r="H9" s="19"/>
      <c r="I9" s="19" t="s">
        <v>88</v>
      </c>
      <c r="J9" s="19" t="s">
        <v>89</v>
      </c>
      <c r="K9" s="18" t="s">
        <v>90</v>
      </c>
      <c r="L9" s="18" t="s">
        <v>28</v>
      </c>
      <c r="M9" s="20">
        <v>46428.0</v>
      </c>
      <c r="N9" s="21">
        <v>46490.0</v>
      </c>
      <c r="O9" s="22" t="s">
        <v>91</v>
      </c>
      <c r="P9" s="23" t="s">
        <v>92</v>
      </c>
      <c r="Q9" s="12" t="str">
        <f t="shared" si="1"/>
        <v>https://ec.europa.eu/info/funding-tenders/opportunities/portal/screen/opportunities/topic-details/HORIZON-HLTH-2027-01-ENVHLTH-MISSCLIMA-03</v>
      </c>
    </row>
    <row r="10" ht="66.0" customHeight="1">
      <c r="A10" s="4" t="s">
        <v>17</v>
      </c>
      <c r="B10" s="4" t="s">
        <v>18</v>
      </c>
      <c r="C10" s="4" t="s">
        <v>19</v>
      </c>
      <c r="D10" s="5" t="s">
        <v>32</v>
      </c>
      <c r="E10" s="6" t="s">
        <v>93</v>
      </c>
      <c r="F10" s="6" t="s">
        <v>94</v>
      </c>
      <c r="G10" s="6" t="s">
        <v>95</v>
      </c>
      <c r="H10" s="7" t="s">
        <v>96</v>
      </c>
      <c r="I10" s="7" t="s">
        <v>97</v>
      </c>
      <c r="J10" s="7" t="s">
        <v>98</v>
      </c>
      <c r="K10" s="6" t="s">
        <v>27</v>
      </c>
      <c r="L10" s="6" t="s">
        <v>28</v>
      </c>
      <c r="M10" s="8">
        <v>46063.0</v>
      </c>
      <c r="N10" s="9">
        <v>46128.0</v>
      </c>
      <c r="O10" s="24" t="s">
        <v>99</v>
      </c>
      <c r="P10" s="25" t="s">
        <v>100</v>
      </c>
      <c r="Q10" s="12" t="str">
        <f t="shared" si="1"/>
        <v>https://ec.europa.eu/info/funding-tenders/opportunities/portal/screen/opportunities/topic-details/HORIZON-HLTH-2026-01-DISEASE-02</v>
      </c>
    </row>
    <row r="11" ht="66.0" customHeight="1">
      <c r="A11" s="4" t="s">
        <v>17</v>
      </c>
      <c r="B11" s="4" t="s">
        <v>18</v>
      </c>
      <c r="C11" s="4" t="s">
        <v>19</v>
      </c>
      <c r="D11" s="5" t="s">
        <v>32</v>
      </c>
      <c r="E11" s="18" t="s">
        <v>101</v>
      </c>
      <c r="F11" s="18" t="s">
        <v>102</v>
      </c>
      <c r="G11" s="18" t="s">
        <v>103</v>
      </c>
      <c r="H11" s="19" t="s">
        <v>104</v>
      </c>
      <c r="I11" s="19" t="s">
        <v>105</v>
      </c>
      <c r="J11" s="19" t="s">
        <v>106</v>
      </c>
      <c r="K11" s="18" t="s">
        <v>27</v>
      </c>
      <c r="L11" s="18" t="s">
        <v>28</v>
      </c>
      <c r="M11" s="20">
        <v>46063.0</v>
      </c>
      <c r="N11" s="21">
        <v>46128.0</v>
      </c>
      <c r="O11" s="24" t="s">
        <v>107</v>
      </c>
      <c r="P11" s="25" t="s">
        <v>108</v>
      </c>
      <c r="Q11" s="12" t="str">
        <f t="shared" si="1"/>
        <v>https://ec.europa.eu/info/funding-tenders/opportunities/portal/screen/opportunities/topic-details/HORIZON-HLTH-2026-01-DISEASE-03</v>
      </c>
    </row>
    <row r="12" ht="66.0" customHeight="1">
      <c r="A12" s="4" t="s">
        <v>17</v>
      </c>
      <c r="B12" s="4" t="s">
        <v>18</v>
      </c>
      <c r="C12" s="4" t="s">
        <v>19</v>
      </c>
      <c r="D12" s="5" t="s">
        <v>32</v>
      </c>
      <c r="E12" s="18" t="s">
        <v>109</v>
      </c>
      <c r="F12" s="18" t="s">
        <v>110</v>
      </c>
      <c r="G12" s="18" t="s">
        <v>111</v>
      </c>
      <c r="H12" s="19"/>
      <c r="I12" s="19" t="s">
        <v>112</v>
      </c>
      <c r="J12" s="19" t="s">
        <v>113</v>
      </c>
      <c r="K12" s="18" t="s">
        <v>27</v>
      </c>
      <c r="L12" s="18" t="s">
        <v>28</v>
      </c>
      <c r="M12" s="20">
        <v>46063.0</v>
      </c>
      <c r="N12" s="21">
        <v>46128.0</v>
      </c>
      <c r="O12" s="24" t="s">
        <v>114</v>
      </c>
      <c r="P12" s="25" t="s">
        <v>115</v>
      </c>
      <c r="Q12" s="12" t="str">
        <f t="shared" si="1"/>
        <v>https://ec.europa.eu/info/funding-tenders/opportunities/portal/screen/opportunities/topic-details/HORIZON-HLTH-2026-01-DISEASE-04</v>
      </c>
    </row>
    <row r="13" ht="66.0" customHeight="1">
      <c r="A13" s="4" t="s">
        <v>17</v>
      </c>
      <c r="B13" s="4" t="s">
        <v>18</v>
      </c>
      <c r="C13" s="4" t="s">
        <v>19</v>
      </c>
      <c r="D13" s="5" t="s">
        <v>32</v>
      </c>
      <c r="E13" s="18" t="s">
        <v>116</v>
      </c>
      <c r="F13" s="18" t="s">
        <v>117</v>
      </c>
      <c r="G13" s="18" t="s">
        <v>118</v>
      </c>
      <c r="H13" s="19" t="s">
        <v>119</v>
      </c>
      <c r="I13" s="19" t="s">
        <v>47</v>
      </c>
      <c r="J13" s="19" t="s">
        <v>120</v>
      </c>
      <c r="K13" s="18" t="s">
        <v>27</v>
      </c>
      <c r="L13" s="18" t="s">
        <v>28</v>
      </c>
      <c r="M13" s="20">
        <v>46063.0</v>
      </c>
      <c r="N13" s="21">
        <v>46128.0</v>
      </c>
      <c r="O13" s="24" t="s">
        <v>121</v>
      </c>
      <c r="P13" s="25" t="s">
        <v>122</v>
      </c>
      <c r="Q13" s="12" t="str">
        <f t="shared" si="1"/>
        <v>https://ec.europa.eu/info/funding-tenders/opportunities/portal/screen/opportunities/topic-details/HORIZON-HLTH-2026-01-DISEASE-09</v>
      </c>
    </row>
    <row r="14" ht="66.0" customHeight="1">
      <c r="A14" s="4" t="s">
        <v>17</v>
      </c>
      <c r="B14" s="4" t="s">
        <v>18</v>
      </c>
      <c r="C14" s="4" t="s">
        <v>19</v>
      </c>
      <c r="D14" s="5" t="s">
        <v>32</v>
      </c>
      <c r="E14" s="18" t="s">
        <v>123</v>
      </c>
      <c r="F14" s="18" t="s">
        <v>124</v>
      </c>
      <c r="G14" s="18" t="s">
        <v>125</v>
      </c>
      <c r="H14" s="19" t="s">
        <v>126</v>
      </c>
      <c r="I14" s="19" t="s">
        <v>127</v>
      </c>
      <c r="J14" s="19" t="s">
        <v>128</v>
      </c>
      <c r="K14" s="18" t="s">
        <v>27</v>
      </c>
      <c r="L14" s="18" t="s">
        <v>28</v>
      </c>
      <c r="M14" s="20">
        <v>46063.0</v>
      </c>
      <c r="N14" s="21">
        <v>46128.0</v>
      </c>
      <c r="O14" s="10" t="s">
        <v>129</v>
      </c>
      <c r="P14" s="11" t="s">
        <v>130</v>
      </c>
      <c r="Q14" s="12" t="str">
        <f t="shared" si="1"/>
        <v>https://ec.europa.eu/info/funding-tenders/opportunities/portal/screen/opportunities/topic-details/HORIZON-HLTH-2026-01-DISEASE-11</v>
      </c>
    </row>
    <row r="15" ht="66.0" customHeight="1">
      <c r="A15" s="4" t="s">
        <v>17</v>
      </c>
      <c r="B15" s="4" t="s">
        <v>18</v>
      </c>
      <c r="C15" s="4" t="s">
        <v>19</v>
      </c>
      <c r="D15" s="5" t="s">
        <v>32</v>
      </c>
      <c r="E15" s="13" t="s">
        <v>131</v>
      </c>
      <c r="F15" s="13" t="s">
        <v>132</v>
      </c>
      <c r="G15" s="13" t="s">
        <v>133</v>
      </c>
      <c r="H15" s="14"/>
      <c r="I15" s="14" t="s">
        <v>134</v>
      </c>
      <c r="J15" s="14" t="s">
        <v>135</v>
      </c>
      <c r="K15" s="13" t="s">
        <v>136</v>
      </c>
      <c r="L15" s="13" t="s">
        <v>28</v>
      </c>
      <c r="M15" s="15">
        <v>46063.0</v>
      </c>
      <c r="N15" s="16">
        <v>46280.0</v>
      </c>
      <c r="O15" s="17" t="s">
        <v>137</v>
      </c>
      <c r="P15" s="17" t="s">
        <v>138</v>
      </c>
      <c r="Q15" s="12" t="str">
        <f t="shared" si="1"/>
        <v>https://ec.europa.eu/info/funding-tenders/opportunities/portal/screen/opportunities/topic-details/HORIZON-HLTH-2026-02-DISEASE-12</v>
      </c>
    </row>
    <row r="16" ht="66.0" customHeight="1">
      <c r="A16" s="4" t="s">
        <v>17</v>
      </c>
      <c r="B16" s="4" t="s">
        <v>18</v>
      </c>
      <c r="C16" s="4" t="s">
        <v>19</v>
      </c>
      <c r="D16" s="5" t="s">
        <v>32</v>
      </c>
      <c r="E16" s="18" t="s">
        <v>139</v>
      </c>
      <c r="F16" s="18" t="s">
        <v>140</v>
      </c>
      <c r="G16" s="18" t="s">
        <v>141</v>
      </c>
      <c r="H16" s="19"/>
      <c r="I16" s="19" t="s">
        <v>105</v>
      </c>
      <c r="J16" s="19" t="s">
        <v>142</v>
      </c>
      <c r="K16" s="18" t="s">
        <v>136</v>
      </c>
      <c r="L16" s="18" t="s">
        <v>28</v>
      </c>
      <c r="M16" s="20">
        <v>46428.0</v>
      </c>
      <c r="N16" s="21">
        <v>46490.0</v>
      </c>
      <c r="O16" s="26" t="s">
        <v>143</v>
      </c>
      <c r="P16" s="27" t="s">
        <v>144</v>
      </c>
      <c r="Q16" s="12" t="str">
        <f t="shared" si="1"/>
        <v>https://ec.europa.eu/info/funding-tenders/opportunities/portal/screen/opportunities/topic-details/HORIZON-HLTH-2026-03-DISEASE-13</v>
      </c>
    </row>
    <row r="17" ht="66.0" customHeight="1">
      <c r="A17" s="4" t="s">
        <v>17</v>
      </c>
      <c r="B17" s="4" t="s">
        <v>18</v>
      </c>
      <c r="C17" s="4" t="s">
        <v>19</v>
      </c>
      <c r="D17" s="5" t="s">
        <v>32</v>
      </c>
      <c r="E17" s="28" t="s">
        <v>145</v>
      </c>
      <c r="F17" s="28" t="s">
        <v>146</v>
      </c>
      <c r="G17" s="28" t="s">
        <v>147</v>
      </c>
      <c r="H17" s="29" t="s">
        <v>104</v>
      </c>
      <c r="I17" s="29" t="s">
        <v>148</v>
      </c>
      <c r="J17" s="29" t="s">
        <v>149</v>
      </c>
      <c r="K17" s="28" t="s">
        <v>39</v>
      </c>
      <c r="L17" s="28" t="s">
        <v>28</v>
      </c>
      <c r="M17" s="30">
        <v>46063.0</v>
      </c>
      <c r="N17" s="31">
        <v>46128.0</v>
      </c>
      <c r="O17" s="17" t="s">
        <v>150</v>
      </c>
      <c r="P17" s="17" t="s">
        <v>151</v>
      </c>
      <c r="Q17" s="12" t="str">
        <f t="shared" si="1"/>
        <v>https://ec.europa.eu/info/funding-tenders/opportunities/portal/screen/opportunities/topic-details/HORIZON-HLTH-2026-01-DISEASE-15</v>
      </c>
    </row>
    <row r="18" ht="66.0" customHeight="1">
      <c r="A18" s="4" t="s">
        <v>17</v>
      </c>
      <c r="B18" s="4" t="s">
        <v>18</v>
      </c>
      <c r="C18" s="4" t="s">
        <v>19</v>
      </c>
      <c r="D18" s="5" t="s">
        <v>32</v>
      </c>
      <c r="E18" s="18" t="s">
        <v>152</v>
      </c>
      <c r="F18" s="18" t="s">
        <v>153</v>
      </c>
      <c r="G18" s="18" t="s">
        <v>154</v>
      </c>
      <c r="H18" s="19" t="s">
        <v>155</v>
      </c>
      <c r="I18" s="19" t="s">
        <v>127</v>
      </c>
      <c r="J18" s="19" t="s">
        <v>156</v>
      </c>
      <c r="K18" s="18" t="s">
        <v>27</v>
      </c>
      <c r="L18" s="18" t="s">
        <v>157</v>
      </c>
      <c r="M18" s="20">
        <v>46428.0</v>
      </c>
      <c r="N18" s="32" t="s">
        <v>158</v>
      </c>
      <c r="O18" s="17" t="s">
        <v>159</v>
      </c>
      <c r="P18" s="17" t="s">
        <v>160</v>
      </c>
      <c r="Q18" s="12" t="str">
        <f t="shared" si="1"/>
        <v>https://ec.europa.eu/info/funding-tenders/opportunities/portal/screen/opportunities/topic-details/HORIZON-HLTH-2027-02-DISEASE-01-two-stage</v>
      </c>
    </row>
    <row r="19" ht="66.0" customHeight="1">
      <c r="A19" s="4" t="s">
        <v>17</v>
      </c>
      <c r="B19" s="4" t="s">
        <v>18</v>
      </c>
      <c r="C19" s="4" t="s">
        <v>19</v>
      </c>
      <c r="D19" s="5" t="s">
        <v>32</v>
      </c>
      <c r="E19" s="18" t="s">
        <v>161</v>
      </c>
      <c r="F19" s="18" t="s">
        <v>162</v>
      </c>
      <c r="G19" s="18" t="s">
        <v>163</v>
      </c>
      <c r="H19" s="19"/>
      <c r="I19" s="19" t="s">
        <v>164</v>
      </c>
      <c r="J19" s="19" t="s">
        <v>165</v>
      </c>
      <c r="K19" s="18" t="s">
        <v>27</v>
      </c>
      <c r="L19" s="18" t="s">
        <v>28</v>
      </c>
      <c r="M19" s="20">
        <v>46428.0</v>
      </c>
      <c r="N19" s="21">
        <v>46490.0</v>
      </c>
      <c r="O19" s="17" t="s">
        <v>166</v>
      </c>
      <c r="P19" s="17" t="s">
        <v>167</v>
      </c>
      <c r="Q19" s="12" t="str">
        <f t="shared" si="1"/>
        <v>https://ec.europa.eu/info/funding-tenders/opportunities/portal/screen/opportunities/topic-details/HORIZON-HLTH-2027-01-DISEASE-05</v>
      </c>
    </row>
    <row r="20" ht="66.0" customHeight="1">
      <c r="A20" s="4" t="s">
        <v>17</v>
      </c>
      <c r="B20" s="4" t="s">
        <v>18</v>
      </c>
      <c r="C20" s="4" t="s">
        <v>19</v>
      </c>
      <c r="D20" s="5" t="s">
        <v>32</v>
      </c>
      <c r="E20" s="18" t="s">
        <v>168</v>
      </c>
      <c r="F20" s="18" t="s">
        <v>169</v>
      </c>
      <c r="G20" s="18" t="s">
        <v>170</v>
      </c>
      <c r="H20" s="19"/>
      <c r="I20" s="19" t="s">
        <v>105</v>
      </c>
      <c r="J20" s="19" t="s">
        <v>171</v>
      </c>
      <c r="K20" s="18" t="s">
        <v>27</v>
      </c>
      <c r="L20" s="18" t="s">
        <v>28</v>
      </c>
      <c r="M20" s="20">
        <v>46428.0</v>
      </c>
      <c r="N20" s="21">
        <v>46490.0</v>
      </c>
      <c r="O20" s="17" t="s">
        <v>172</v>
      </c>
      <c r="P20" s="17" t="s">
        <v>173</v>
      </c>
      <c r="Q20" s="12" t="str">
        <f t="shared" si="1"/>
        <v>https://ec.europa.eu/info/funding-tenders/opportunities/portal/screen/opportunities/topic-details/HORIZON-HLTH-2027-01-DISEASE-06</v>
      </c>
    </row>
    <row r="21" ht="66.0" customHeight="1">
      <c r="A21" s="4" t="s">
        <v>17</v>
      </c>
      <c r="B21" s="4" t="s">
        <v>18</v>
      </c>
      <c r="C21" s="4" t="s">
        <v>19</v>
      </c>
      <c r="D21" s="5" t="s">
        <v>32</v>
      </c>
      <c r="E21" s="18" t="s">
        <v>174</v>
      </c>
      <c r="F21" s="18" t="s">
        <v>175</v>
      </c>
      <c r="G21" s="18" t="s">
        <v>176</v>
      </c>
      <c r="H21" s="19"/>
      <c r="I21" s="19" t="s">
        <v>105</v>
      </c>
      <c r="J21" s="19" t="s">
        <v>177</v>
      </c>
      <c r="K21" s="18" t="s">
        <v>27</v>
      </c>
      <c r="L21" s="18" t="s">
        <v>28</v>
      </c>
      <c r="M21" s="20">
        <v>46428.0</v>
      </c>
      <c r="N21" s="21">
        <v>46490.0</v>
      </c>
      <c r="O21" s="17" t="s">
        <v>178</v>
      </c>
      <c r="P21" s="17" t="s">
        <v>179</v>
      </c>
      <c r="Q21" s="12" t="str">
        <f t="shared" si="1"/>
        <v>https://ec.europa.eu/info/funding-tenders/opportunities/portal/screen/opportunities/topic-details/HORIZON-HLTH-2027-01-DISEASE-07</v>
      </c>
    </row>
    <row r="22" ht="66.0" customHeight="1">
      <c r="A22" s="4" t="s">
        <v>17</v>
      </c>
      <c r="B22" s="4" t="s">
        <v>18</v>
      </c>
      <c r="C22" s="4" t="s">
        <v>19</v>
      </c>
      <c r="D22" s="5" t="s">
        <v>32</v>
      </c>
      <c r="E22" s="18" t="s">
        <v>180</v>
      </c>
      <c r="F22" s="18" t="s">
        <v>181</v>
      </c>
      <c r="G22" s="18" t="s">
        <v>182</v>
      </c>
      <c r="H22" s="19"/>
      <c r="I22" s="19" t="s">
        <v>105</v>
      </c>
      <c r="J22" s="19" t="s">
        <v>183</v>
      </c>
      <c r="K22" s="18" t="s">
        <v>27</v>
      </c>
      <c r="L22" s="18" t="s">
        <v>28</v>
      </c>
      <c r="M22" s="20">
        <v>46428.0</v>
      </c>
      <c r="N22" s="21">
        <v>46490.0</v>
      </c>
      <c r="O22" s="17" t="s">
        <v>184</v>
      </c>
      <c r="P22" s="17" t="s">
        <v>185</v>
      </c>
      <c r="Q22" s="12" t="str">
        <f t="shared" si="1"/>
        <v>https://ec.europa.eu/info/funding-tenders/opportunities/portal/screen/opportunities/topic-details/HORIZON-HLTH-2027-01-DISEASE-08</v>
      </c>
    </row>
    <row r="23" ht="66.0" customHeight="1">
      <c r="A23" s="4" t="s">
        <v>17</v>
      </c>
      <c r="B23" s="4" t="s">
        <v>18</v>
      </c>
      <c r="C23" s="4" t="s">
        <v>19</v>
      </c>
      <c r="D23" s="5" t="s">
        <v>32</v>
      </c>
      <c r="E23" s="18" t="s">
        <v>186</v>
      </c>
      <c r="F23" s="18" t="s">
        <v>187</v>
      </c>
      <c r="G23" s="18" t="s">
        <v>188</v>
      </c>
      <c r="H23" s="19" t="s">
        <v>189</v>
      </c>
      <c r="I23" s="19" t="s">
        <v>47</v>
      </c>
      <c r="J23" s="19" t="s">
        <v>190</v>
      </c>
      <c r="K23" s="18" t="s">
        <v>27</v>
      </c>
      <c r="L23" s="18" t="s">
        <v>28</v>
      </c>
      <c r="M23" s="20">
        <v>46428.0</v>
      </c>
      <c r="N23" s="21">
        <v>46490.0</v>
      </c>
      <c r="O23" s="17" t="s">
        <v>191</v>
      </c>
      <c r="P23" s="17" t="s">
        <v>192</v>
      </c>
      <c r="Q23" s="12" t="str">
        <f t="shared" si="1"/>
        <v>https://ec.europa.eu/info/funding-tenders/opportunities/portal/screen/opportunities/topic-details/HORIZON-HLTH-2027-01-DISEASE-10</v>
      </c>
    </row>
    <row r="24" ht="66.0" customHeight="1">
      <c r="A24" s="4" t="s">
        <v>17</v>
      </c>
      <c r="B24" s="4" t="s">
        <v>18</v>
      </c>
      <c r="C24" s="4" t="s">
        <v>19</v>
      </c>
      <c r="D24" s="5" t="s">
        <v>32</v>
      </c>
      <c r="E24" s="18" t="s">
        <v>193</v>
      </c>
      <c r="F24" s="18" t="s">
        <v>194</v>
      </c>
      <c r="G24" s="18" t="s">
        <v>195</v>
      </c>
      <c r="H24" s="19" t="s">
        <v>24</v>
      </c>
      <c r="I24" s="19" t="s">
        <v>196</v>
      </c>
      <c r="J24" s="19" t="s">
        <v>197</v>
      </c>
      <c r="K24" s="18" t="s">
        <v>27</v>
      </c>
      <c r="L24" s="18" t="s">
        <v>157</v>
      </c>
      <c r="M24" s="20">
        <v>46428.0</v>
      </c>
      <c r="N24" s="32" t="s">
        <v>158</v>
      </c>
      <c r="O24" s="26" t="s">
        <v>198</v>
      </c>
      <c r="P24" s="27" t="s">
        <v>199</v>
      </c>
      <c r="Q24" s="12" t="str">
        <f t="shared" si="1"/>
        <v>https://ec.europa.eu/info/funding-tenders/opportunities/portal/screen/opportunities/topic-details/HORIZON-HLTH-2027-02-DISEASE-14-two-stage</v>
      </c>
    </row>
    <row r="25" ht="66.0" customHeight="1">
      <c r="A25" s="4" t="s">
        <v>17</v>
      </c>
      <c r="B25" s="4" t="s">
        <v>18</v>
      </c>
      <c r="C25" s="4" t="s">
        <v>19</v>
      </c>
      <c r="D25" s="5" t="s">
        <v>32</v>
      </c>
      <c r="E25" s="28" t="s">
        <v>200</v>
      </c>
      <c r="F25" s="28" t="s">
        <v>201</v>
      </c>
      <c r="G25" s="28" t="s">
        <v>202</v>
      </c>
      <c r="H25" s="29"/>
      <c r="I25" s="29" t="s">
        <v>148</v>
      </c>
      <c r="J25" s="29" t="s">
        <v>203</v>
      </c>
      <c r="K25" s="28" t="s">
        <v>204</v>
      </c>
      <c r="L25" s="28" t="s">
        <v>28</v>
      </c>
      <c r="M25" s="30">
        <v>46063.0</v>
      </c>
      <c r="N25" s="31">
        <v>46128.0</v>
      </c>
      <c r="O25" s="17" t="s">
        <v>205</v>
      </c>
      <c r="P25" s="17" t="s">
        <v>206</v>
      </c>
      <c r="Q25" s="12" t="str">
        <f t="shared" si="1"/>
        <v>https://ec.europa.eu/info/funding-tenders/opportunities/portal/screen/opportunities/topic-details/HORIZON-HLTH-2026-01-CARE-01</v>
      </c>
    </row>
    <row r="26" ht="66.0" customHeight="1">
      <c r="A26" s="4" t="s">
        <v>17</v>
      </c>
      <c r="B26" s="4" t="s">
        <v>18</v>
      </c>
      <c r="C26" s="4" t="s">
        <v>19</v>
      </c>
      <c r="D26" s="5" t="s">
        <v>32</v>
      </c>
      <c r="E26" s="18" t="s">
        <v>207</v>
      </c>
      <c r="F26" s="18" t="s">
        <v>208</v>
      </c>
      <c r="G26" s="18" t="s">
        <v>209</v>
      </c>
      <c r="H26" s="19"/>
      <c r="I26" s="19" t="s">
        <v>210</v>
      </c>
      <c r="J26" s="19" t="s">
        <v>211</v>
      </c>
      <c r="K26" s="18" t="s">
        <v>27</v>
      </c>
      <c r="L26" s="18" t="s">
        <v>28</v>
      </c>
      <c r="M26" s="20">
        <v>46428.0</v>
      </c>
      <c r="N26" s="21">
        <v>46490.0</v>
      </c>
      <c r="O26" s="22" t="s">
        <v>212</v>
      </c>
      <c r="P26" s="23" t="s">
        <v>213</v>
      </c>
      <c r="Q26" s="12" t="str">
        <f t="shared" si="1"/>
        <v>https://ec.europa.eu/info/funding-tenders/opportunities/portal/screen/opportunities/topic-details/HORIZON-HLTH-2027-01-CARE-02</v>
      </c>
    </row>
    <row r="27" ht="66.0" customHeight="1">
      <c r="A27" s="4" t="s">
        <v>17</v>
      </c>
      <c r="B27" s="4" t="s">
        <v>18</v>
      </c>
      <c r="C27" s="4" t="s">
        <v>19</v>
      </c>
      <c r="D27" s="5" t="s">
        <v>32</v>
      </c>
      <c r="E27" s="6" t="s">
        <v>214</v>
      </c>
      <c r="F27" s="6" t="s">
        <v>215</v>
      </c>
      <c r="G27" s="6" t="s">
        <v>216</v>
      </c>
      <c r="H27" s="7" t="s">
        <v>217</v>
      </c>
      <c r="I27" s="7" t="s">
        <v>148</v>
      </c>
      <c r="J27" s="7" t="s">
        <v>218</v>
      </c>
      <c r="K27" s="6" t="s">
        <v>27</v>
      </c>
      <c r="L27" s="6" t="s">
        <v>28</v>
      </c>
      <c r="M27" s="8">
        <v>46063.0</v>
      </c>
      <c r="N27" s="9">
        <v>46128.0</v>
      </c>
      <c r="O27" s="24" t="s">
        <v>219</v>
      </c>
      <c r="P27" s="25" t="s">
        <v>220</v>
      </c>
      <c r="Q27" s="12" t="str">
        <f t="shared" si="1"/>
        <v>https://ec.europa.eu/info/funding-tenders/opportunities/portal/screen/opportunities/topic-details/HORIZON-HLTH-2026-01-CARE-03</v>
      </c>
    </row>
    <row r="28" ht="66.0" customHeight="1">
      <c r="A28" s="4" t="s">
        <v>17</v>
      </c>
      <c r="B28" s="4" t="s">
        <v>18</v>
      </c>
      <c r="C28" s="4" t="s">
        <v>19</v>
      </c>
      <c r="D28" s="5" t="s">
        <v>32</v>
      </c>
      <c r="E28" s="18" t="s">
        <v>221</v>
      </c>
      <c r="F28" s="18" t="s">
        <v>222</v>
      </c>
      <c r="G28" s="18" t="s">
        <v>223</v>
      </c>
      <c r="H28" s="19"/>
      <c r="I28" s="19" t="s">
        <v>134</v>
      </c>
      <c r="J28" s="19" t="s">
        <v>224</v>
      </c>
      <c r="K28" s="18" t="s">
        <v>136</v>
      </c>
      <c r="L28" s="18" t="s">
        <v>28</v>
      </c>
      <c r="M28" s="20">
        <v>46063.0</v>
      </c>
      <c r="N28" s="21">
        <v>46128.0</v>
      </c>
      <c r="O28" s="24" t="s">
        <v>225</v>
      </c>
      <c r="P28" s="25" t="s">
        <v>226</v>
      </c>
      <c r="Q28" s="12" t="str">
        <f t="shared" si="1"/>
        <v>https://ec.europa.eu/info/funding-tenders/opportunities/portal/screen/opportunities/topic-details/HORIZON-HLTH-2026-04-CARE-04</v>
      </c>
    </row>
    <row r="29" ht="66.0" customHeight="1">
      <c r="A29" s="4" t="s">
        <v>17</v>
      </c>
      <c r="B29" s="4" t="s">
        <v>18</v>
      </c>
      <c r="C29" s="4" t="s">
        <v>19</v>
      </c>
      <c r="D29" s="5" t="s">
        <v>32</v>
      </c>
      <c r="E29" s="18" t="s">
        <v>227</v>
      </c>
      <c r="F29" s="18" t="s">
        <v>228</v>
      </c>
      <c r="G29" s="18" t="s">
        <v>229</v>
      </c>
      <c r="H29" s="19"/>
      <c r="I29" s="19" t="s">
        <v>230</v>
      </c>
      <c r="J29" s="19" t="s">
        <v>231</v>
      </c>
      <c r="K29" s="18" t="s">
        <v>27</v>
      </c>
      <c r="L29" s="18" t="s">
        <v>28</v>
      </c>
      <c r="M29" s="20">
        <v>46063.0</v>
      </c>
      <c r="N29" s="21">
        <v>46128.0</v>
      </c>
      <c r="O29" s="24" t="s">
        <v>232</v>
      </c>
      <c r="P29" s="25" t="s">
        <v>233</v>
      </c>
      <c r="Q29" s="12" t="str">
        <f t="shared" si="1"/>
        <v>https://ec.europa.eu/info/funding-tenders/opportunities/portal/screen/opportunities/topic-details/HORIZON-HLTH-2026-01-TOOL-03</v>
      </c>
    </row>
    <row r="30" ht="66.0" customHeight="1">
      <c r="A30" s="4" t="s">
        <v>17</v>
      </c>
      <c r="B30" s="4" t="s">
        <v>18</v>
      </c>
      <c r="C30" s="4" t="s">
        <v>19</v>
      </c>
      <c r="D30" s="5" t="s">
        <v>32</v>
      </c>
      <c r="E30" s="18" t="s">
        <v>234</v>
      </c>
      <c r="F30" s="18" t="s">
        <v>235</v>
      </c>
      <c r="G30" s="18" t="s">
        <v>236</v>
      </c>
      <c r="H30" s="19"/>
      <c r="I30" s="19" t="s">
        <v>237</v>
      </c>
      <c r="J30" s="19" t="s">
        <v>238</v>
      </c>
      <c r="K30" s="18" t="s">
        <v>239</v>
      </c>
      <c r="L30" s="18" t="s">
        <v>28</v>
      </c>
      <c r="M30" s="20">
        <v>46063.0</v>
      </c>
      <c r="N30" s="21">
        <v>46128.0</v>
      </c>
      <c r="O30" s="24" t="s">
        <v>240</v>
      </c>
      <c r="P30" s="25" t="s">
        <v>241</v>
      </c>
      <c r="Q30" s="12" t="str">
        <f t="shared" si="1"/>
        <v>https://ec.europa.eu/info/funding-tenders/opportunities/portal/screen/opportunities/topic-details/HORIZON-HLTH-2026-01-TOOL-05</v>
      </c>
    </row>
    <row r="31" ht="66.0" customHeight="1">
      <c r="A31" s="4" t="s">
        <v>17</v>
      </c>
      <c r="B31" s="4" t="s">
        <v>18</v>
      </c>
      <c r="C31" s="4" t="s">
        <v>19</v>
      </c>
      <c r="D31" s="5" t="s">
        <v>32</v>
      </c>
      <c r="E31" s="18" t="s">
        <v>242</v>
      </c>
      <c r="F31" s="18" t="s">
        <v>243</v>
      </c>
      <c r="G31" s="18" t="s">
        <v>244</v>
      </c>
      <c r="H31" s="19"/>
      <c r="I31" s="19" t="s">
        <v>230</v>
      </c>
      <c r="J31" s="19" t="s">
        <v>245</v>
      </c>
      <c r="K31" s="18" t="s">
        <v>39</v>
      </c>
      <c r="L31" s="18" t="s">
        <v>28</v>
      </c>
      <c r="M31" s="20">
        <v>46063.0</v>
      </c>
      <c r="N31" s="21">
        <v>46128.0</v>
      </c>
      <c r="O31" s="10" t="s">
        <v>246</v>
      </c>
      <c r="P31" s="11" t="s">
        <v>247</v>
      </c>
      <c r="Q31" s="12" t="str">
        <f t="shared" si="1"/>
        <v>https://ec.europa.eu/info/funding-tenders/opportunities/portal/screen/opportunities/topic-details/HORIZON-HLTH-2026-01-TOOL-06</v>
      </c>
    </row>
    <row r="32" ht="66.0" customHeight="1">
      <c r="A32" s="4" t="s">
        <v>17</v>
      </c>
      <c r="B32" s="4" t="s">
        <v>18</v>
      </c>
      <c r="C32" s="4" t="s">
        <v>19</v>
      </c>
      <c r="D32" s="5" t="s">
        <v>32</v>
      </c>
      <c r="E32" s="13" t="s">
        <v>248</v>
      </c>
      <c r="F32" s="13" t="s">
        <v>249</v>
      </c>
      <c r="G32" s="13" t="s">
        <v>250</v>
      </c>
      <c r="H32" s="14"/>
      <c r="I32" s="14" t="s">
        <v>251</v>
      </c>
      <c r="J32" s="14" t="s">
        <v>252</v>
      </c>
      <c r="K32" s="13" t="s">
        <v>39</v>
      </c>
      <c r="L32" s="13" t="s">
        <v>28</v>
      </c>
      <c r="M32" s="15">
        <v>46063.0</v>
      </c>
      <c r="N32" s="16">
        <v>46128.0</v>
      </c>
      <c r="O32" s="17" t="s">
        <v>253</v>
      </c>
      <c r="P32" s="17" t="s">
        <v>254</v>
      </c>
      <c r="Q32" s="12" t="str">
        <f t="shared" si="1"/>
        <v>https://ec.europa.eu/info/funding-tenders/opportunities/portal/screen/opportunities/topic-details/HORIZON-HLTH-2026-01-TOOL-07</v>
      </c>
    </row>
    <row r="33" ht="66.0" customHeight="1">
      <c r="A33" s="4" t="s">
        <v>17</v>
      </c>
      <c r="B33" s="4" t="s">
        <v>18</v>
      </c>
      <c r="C33" s="4" t="s">
        <v>19</v>
      </c>
      <c r="D33" s="5" t="s">
        <v>32</v>
      </c>
      <c r="E33" s="18" t="s">
        <v>255</v>
      </c>
      <c r="F33" s="18" t="s">
        <v>256</v>
      </c>
      <c r="G33" s="18" t="s">
        <v>257</v>
      </c>
      <c r="H33" s="19"/>
      <c r="I33" s="19" t="s">
        <v>258</v>
      </c>
      <c r="J33" s="19" t="s">
        <v>259</v>
      </c>
      <c r="K33" s="18" t="s">
        <v>27</v>
      </c>
      <c r="L33" s="18" t="s">
        <v>157</v>
      </c>
      <c r="M33" s="20">
        <v>46428.0</v>
      </c>
      <c r="N33" s="32" t="s">
        <v>158</v>
      </c>
      <c r="O33" s="17" t="s">
        <v>260</v>
      </c>
      <c r="P33" s="17" t="s">
        <v>261</v>
      </c>
      <c r="Q33" s="12" t="str">
        <f t="shared" si="1"/>
        <v>https://ec.europa.eu/info/funding-tenders/opportunities/portal/screen/opportunities/topic-details/HORIZON-HLTH-2027-02-TOOL-01-two-stage</v>
      </c>
    </row>
    <row r="34" ht="66.0" customHeight="1">
      <c r="A34" s="4" t="s">
        <v>17</v>
      </c>
      <c r="B34" s="4" t="s">
        <v>18</v>
      </c>
      <c r="C34" s="4" t="s">
        <v>19</v>
      </c>
      <c r="D34" s="5" t="s">
        <v>32</v>
      </c>
      <c r="E34" s="18" t="s">
        <v>262</v>
      </c>
      <c r="F34" s="18" t="s">
        <v>263</v>
      </c>
      <c r="G34" s="18" t="s">
        <v>264</v>
      </c>
      <c r="H34" s="19"/>
      <c r="I34" s="19" t="s">
        <v>265</v>
      </c>
      <c r="J34" s="19" t="s">
        <v>266</v>
      </c>
      <c r="K34" s="18" t="s">
        <v>27</v>
      </c>
      <c r="L34" s="18" t="s">
        <v>28</v>
      </c>
      <c r="M34" s="20">
        <v>46541.0</v>
      </c>
      <c r="N34" s="21">
        <v>46652.0</v>
      </c>
      <c r="O34" s="17" t="s">
        <v>267</v>
      </c>
      <c r="P34" s="17" t="s">
        <v>268</v>
      </c>
      <c r="Q34" s="12" t="str">
        <f t="shared" si="1"/>
        <v>https://ec.europa.eu/info/funding-tenders/opportunities/portal/screen/opportunities/topic-details/HORIZON-HLTH-2027-03-TOOL-02</v>
      </c>
    </row>
    <row r="35" ht="66.0" customHeight="1">
      <c r="A35" s="4" t="s">
        <v>17</v>
      </c>
      <c r="B35" s="4" t="s">
        <v>18</v>
      </c>
      <c r="C35" s="4" t="s">
        <v>19</v>
      </c>
      <c r="D35" s="5" t="s">
        <v>32</v>
      </c>
      <c r="E35" s="18" t="s">
        <v>269</v>
      </c>
      <c r="F35" s="18" t="s">
        <v>270</v>
      </c>
      <c r="G35" s="18" t="s">
        <v>271</v>
      </c>
      <c r="H35" s="19" t="s">
        <v>272</v>
      </c>
      <c r="I35" s="19" t="s">
        <v>88</v>
      </c>
      <c r="J35" s="19" t="s">
        <v>273</v>
      </c>
      <c r="K35" s="18" t="s">
        <v>27</v>
      </c>
      <c r="L35" s="18" t="s">
        <v>28</v>
      </c>
      <c r="M35" s="20">
        <v>46541.0</v>
      </c>
      <c r="N35" s="21">
        <v>46652.0</v>
      </c>
      <c r="O35" s="17" t="s">
        <v>274</v>
      </c>
      <c r="P35" s="17" t="s">
        <v>275</v>
      </c>
      <c r="Q35" s="12" t="str">
        <f t="shared" si="1"/>
        <v>https://ec.europa.eu/info/funding-tenders/opportunities/portal/screen/opportunities/topic-details/HORIZON-HLTH-2027-03-TOOL-04</v>
      </c>
    </row>
    <row r="36" ht="66.0" customHeight="1">
      <c r="A36" s="4" t="s">
        <v>17</v>
      </c>
      <c r="B36" s="4" t="s">
        <v>18</v>
      </c>
      <c r="C36" s="4" t="s">
        <v>19</v>
      </c>
      <c r="D36" s="5" t="s">
        <v>32</v>
      </c>
      <c r="E36" s="18" t="s">
        <v>276</v>
      </c>
      <c r="F36" s="18" t="s">
        <v>277</v>
      </c>
      <c r="G36" s="18" t="s">
        <v>278</v>
      </c>
      <c r="H36" s="19"/>
      <c r="I36" s="19" t="s">
        <v>279</v>
      </c>
      <c r="J36" s="19" t="s">
        <v>280</v>
      </c>
      <c r="K36" s="18" t="s">
        <v>39</v>
      </c>
      <c r="L36" s="18" t="s">
        <v>28</v>
      </c>
      <c r="M36" s="20">
        <v>46541.0</v>
      </c>
      <c r="N36" s="21">
        <v>46652.0</v>
      </c>
      <c r="O36" s="17" t="s">
        <v>281</v>
      </c>
      <c r="P36" s="17" t="s">
        <v>282</v>
      </c>
      <c r="Q36" s="12" t="str">
        <f t="shared" si="1"/>
        <v>https://ec.europa.eu/info/funding-tenders/opportunities/portal/screen/opportunities/topic-details/HORIZON-HLTH-2027-03-TOOL-08</v>
      </c>
    </row>
    <row r="37" ht="66.0" customHeight="1">
      <c r="A37" s="4" t="s">
        <v>17</v>
      </c>
      <c r="B37" s="4" t="s">
        <v>18</v>
      </c>
      <c r="C37" s="4" t="s">
        <v>19</v>
      </c>
      <c r="D37" s="5" t="s">
        <v>32</v>
      </c>
      <c r="E37" s="18" t="s">
        <v>283</v>
      </c>
      <c r="F37" s="18" t="s">
        <v>284</v>
      </c>
      <c r="G37" s="18" t="s">
        <v>285</v>
      </c>
      <c r="H37" s="19"/>
      <c r="I37" s="19" t="s">
        <v>286</v>
      </c>
      <c r="J37" s="19" t="s">
        <v>287</v>
      </c>
      <c r="K37" s="18" t="s">
        <v>27</v>
      </c>
      <c r="L37" s="18" t="s">
        <v>28</v>
      </c>
      <c r="M37" s="20">
        <v>46428.0</v>
      </c>
      <c r="N37" s="21">
        <v>46490.0</v>
      </c>
      <c r="O37" s="26" t="s">
        <v>288</v>
      </c>
      <c r="P37" s="27" t="s">
        <v>289</v>
      </c>
      <c r="Q37" s="12" t="str">
        <f t="shared" si="1"/>
        <v>https://ec.europa.eu/info/funding-tenders/opportunities/portal/screen/opportunities/topic-details/HORIZON-HLTH-2027-01-IND-01</v>
      </c>
    </row>
    <row r="38" ht="66.0" customHeight="1">
      <c r="A38" s="4" t="s">
        <v>17</v>
      </c>
      <c r="B38" s="4" t="s">
        <v>18</v>
      </c>
      <c r="C38" s="4" t="s">
        <v>19</v>
      </c>
      <c r="D38" s="5" t="s">
        <v>32</v>
      </c>
      <c r="E38" s="28" t="s">
        <v>290</v>
      </c>
      <c r="F38" s="28" t="s">
        <v>291</v>
      </c>
      <c r="G38" s="28" t="s">
        <v>292</v>
      </c>
      <c r="H38" s="29"/>
      <c r="I38" s="29" t="s">
        <v>293</v>
      </c>
      <c r="J38" s="29" t="s">
        <v>294</v>
      </c>
      <c r="K38" s="28" t="s">
        <v>27</v>
      </c>
      <c r="L38" s="28" t="s">
        <v>28</v>
      </c>
      <c r="M38" s="30">
        <v>46063.0</v>
      </c>
      <c r="N38" s="31">
        <v>46128.0</v>
      </c>
      <c r="O38" s="17" t="s">
        <v>295</v>
      </c>
      <c r="P38" s="17" t="s">
        <v>296</v>
      </c>
      <c r="Q38" s="12" t="str">
        <f t="shared" si="1"/>
        <v>https://ec.europa.eu/info/funding-tenders/opportunities/portal/screen/opportunities/topic-details/HORIZON-HLTH-2026-01-IND-03</v>
      </c>
    </row>
    <row r="39" ht="66.0" customHeight="1">
      <c r="A39" s="4" t="s">
        <v>17</v>
      </c>
      <c r="B39" s="4" t="s">
        <v>18</v>
      </c>
      <c r="C39" s="4" t="s">
        <v>19</v>
      </c>
      <c r="D39" s="5" t="s">
        <v>32</v>
      </c>
      <c r="E39" s="13" t="s">
        <v>297</v>
      </c>
      <c r="F39" s="13" t="s">
        <v>298</v>
      </c>
      <c r="G39" s="13" t="s">
        <v>299</v>
      </c>
      <c r="H39" s="14"/>
      <c r="I39" s="14" t="s">
        <v>300</v>
      </c>
      <c r="J39" s="14" t="s">
        <v>301</v>
      </c>
      <c r="K39" s="13" t="s">
        <v>239</v>
      </c>
      <c r="L39" s="13" t="s">
        <v>157</v>
      </c>
      <c r="M39" s="15">
        <v>46428.0</v>
      </c>
      <c r="N39" s="33" t="s">
        <v>158</v>
      </c>
      <c r="O39" s="22" t="s">
        <v>302</v>
      </c>
      <c r="P39" s="23" t="s">
        <v>303</v>
      </c>
      <c r="Q39" s="12" t="str">
        <f t="shared" si="1"/>
        <v>https://ec.europa.eu/info/funding-tenders/opportunities/portal/screen/opportunities/topic-details/HORIZON-HLTH-2027-02-IND-02-two-stage</v>
      </c>
    </row>
    <row r="40" ht="66.0" customHeight="1">
      <c r="A40" s="4" t="s">
        <v>17</v>
      </c>
      <c r="B40" s="4" t="s">
        <v>18</v>
      </c>
      <c r="C40" s="4" t="s">
        <v>19</v>
      </c>
      <c r="D40" s="5" t="s">
        <v>304</v>
      </c>
      <c r="E40" s="32" t="s">
        <v>305</v>
      </c>
      <c r="F40" s="5" t="s">
        <v>306</v>
      </c>
      <c r="G40" s="5" t="s">
        <v>307</v>
      </c>
      <c r="H40" s="19" t="s">
        <v>308</v>
      </c>
      <c r="I40" s="19" t="s">
        <v>309</v>
      </c>
      <c r="J40" s="19" t="s">
        <v>310</v>
      </c>
      <c r="K40" s="18" t="s">
        <v>27</v>
      </c>
      <c r="L40" s="18" t="s">
        <v>28</v>
      </c>
      <c r="M40" s="34">
        <v>46154.0</v>
      </c>
      <c r="N40" s="35">
        <v>46288.0</v>
      </c>
      <c r="O40" s="19" t="s">
        <v>311</v>
      </c>
      <c r="P40" s="19" t="s">
        <v>312</v>
      </c>
      <c r="Q40" s="12" t="str">
        <f t="shared" si="1"/>
        <v>https://ec.europa.eu/info/funding-tenders/opportunities/portal/screen/opportunities/topic-details/HORIZON-CL2-2026-01-DEMOCRACY-01</v>
      </c>
    </row>
    <row r="41" ht="66.0" customHeight="1">
      <c r="A41" s="4" t="s">
        <v>17</v>
      </c>
      <c r="B41" s="4" t="s">
        <v>18</v>
      </c>
      <c r="C41" s="4" t="s">
        <v>19</v>
      </c>
      <c r="D41" s="5" t="s">
        <v>304</v>
      </c>
      <c r="E41" s="32" t="s">
        <v>313</v>
      </c>
      <c r="F41" s="5" t="s">
        <v>314</v>
      </c>
      <c r="G41" s="5" t="s">
        <v>315</v>
      </c>
      <c r="H41" s="19" t="s">
        <v>316</v>
      </c>
      <c r="I41" s="19" t="s">
        <v>73</v>
      </c>
      <c r="J41" s="19" t="s">
        <v>317</v>
      </c>
      <c r="K41" s="18" t="s">
        <v>27</v>
      </c>
      <c r="L41" s="18" t="s">
        <v>28</v>
      </c>
      <c r="M41" s="34">
        <v>46154.0</v>
      </c>
      <c r="N41" s="35">
        <v>46288.0</v>
      </c>
      <c r="O41" s="19" t="s">
        <v>318</v>
      </c>
      <c r="P41" s="19" t="s">
        <v>319</v>
      </c>
      <c r="Q41" s="12" t="str">
        <f t="shared" si="1"/>
        <v>https://ec.europa.eu/info/funding-tenders/opportunities/portal/screen/opportunities/topic-details/HORIZON-CL2-2026-01-DEMOCRACY-02</v>
      </c>
    </row>
    <row r="42" ht="66.0" customHeight="1">
      <c r="A42" s="4" t="s">
        <v>17</v>
      </c>
      <c r="B42" s="4" t="s">
        <v>18</v>
      </c>
      <c r="C42" s="4" t="s">
        <v>19</v>
      </c>
      <c r="D42" s="5" t="s">
        <v>304</v>
      </c>
      <c r="E42" s="32" t="s">
        <v>320</v>
      </c>
      <c r="F42" s="5" t="s">
        <v>321</v>
      </c>
      <c r="G42" s="5" t="s">
        <v>322</v>
      </c>
      <c r="H42" s="19" t="s">
        <v>323</v>
      </c>
      <c r="I42" s="19" t="s">
        <v>73</v>
      </c>
      <c r="J42" s="19" t="s">
        <v>324</v>
      </c>
      <c r="K42" s="18" t="s">
        <v>27</v>
      </c>
      <c r="L42" s="18" t="s">
        <v>28</v>
      </c>
      <c r="M42" s="34">
        <v>46154.0</v>
      </c>
      <c r="N42" s="35">
        <v>46288.0</v>
      </c>
      <c r="O42" s="19" t="s">
        <v>325</v>
      </c>
      <c r="P42" s="19" t="s">
        <v>326</v>
      </c>
      <c r="Q42" s="12" t="str">
        <f t="shared" si="1"/>
        <v>https://ec.europa.eu/info/funding-tenders/opportunities/portal/screen/opportunities/topic-details/HORIZON-CL2-2026-01-DEMOCRACY-03</v>
      </c>
    </row>
    <row r="43" ht="66.0" customHeight="1">
      <c r="A43" s="4" t="s">
        <v>17</v>
      </c>
      <c r="B43" s="4" t="s">
        <v>18</v>
      </c>
      <c r="C43" s="4" t="s">
        <v>19</v>
      </c>
      <c r="D43" s="5" t="s">
        <v>304</v>
      </c>
      <c r="E43" s="32" t="s">
        <v>327</v>
      </c>
      <c r="F43" s="5" t="s">
        <v>328</v>
      </c>
      <c r="G43" s="5" t="s">
        <v>329</v>
      </c>
      <c r="H43" s="19" t="s">
        <v>330</v>
      </c>
      <c r="I43" s="19" t="s">
        <v>331</v>
      </c>
      <c r="J43" s="19" t="s">
        <v>332</v>
      </c>
      <c r="K43" s="18" t="s">
        <v>239</v>
      </c>
      <c r="L43" s="18" t="s">
        <v>28</v>
      </c>
      <c r="M43" s="34">
        <v>46154.0</v>
      </c>
      <c r="N43" s="35">
        <v>46288.0</v>
      </c>
      <c r="O43" s="19" t="s">
        <v>333</v>
      </c>
      <c r="P43" s="19" t="s">
        <v>334</v>
      </c>
      <c r="Q43" s="12" t="str">
        <f t="shared" si="1"/>
        <v>https://ec.europa.eu/info/funding-tenders/opportunities/portal/screen/opportunities/topic-details/HORIZON-CL2-2026-01-DEMOCRACY-04</v>
      </c>
    </row>
    <row r="44" ht="66.0" customHeight="1">
      <c r="A44" s="4" t="s">
        <v>17</v>
      </c>
      <c r="B44" s="4" t="s">
        <v>18</v>
      </c>
      <c r="C44" s="4" t="s">
        <v>19</v>
      </c>
      <c r="D44" s="5" t="s">
        <v>304</v>
      </c>
      <c r="E44" s="32" t="s">
        <v>335</v>
      </c>
      <c r="F44" s="5" t="s">
        <v>336</v>
      </c>
      <c r="G44" s="5" t="s">
        <v>337</v>
      </c>
      <c r="H44" s="19" t="s">
        <v>338</v>
      </c>
      <c r="I44" s="19" t="s">
        <v>331</v>
      </c>
      <c r="J44" s="19" t="s">
        <v>339</v>
      </c>
      <c r="K44" s="18" t="s">
        <v>39</v>
      </c>
      <c r="L44" s="18" t="s">
        <v>28</v>
      </c>
      <c r="M44" s="34">
        <v>46154.0</v>
      </c>
      <c r="N44" s="35">
        <v>46288.0</v>
      </c>
      <c r="O44" s="19" t="s">
        <v>340</v>
      </c>
      <c r="P44" s="19" t="s">
        <v>341</v>
      </c>
      <c r="Q44" s="12" t="str">
        <f t="shared" si="1"/>
        <v>https://ec.europa.eu/info/funding-tenders/opportunities/portal/screen/opportunities/topic-details/HORIZON-CL2-2026-01-DEMOCRACY-05</v>
      </c>
    </row>
    <row r="45" ht="66.0" customHeight="1">
      <c r="A45" s="4" t="s">
        <v>17</v>
      </c>
      <c r="B45" s="4" t="s">
        <v>18</v>
      </c>
      <c r="C45" s="4" t="s">
        <v>19</v>
      </c>
      <c r="D45" s="5" t="s">
        <v>304</v>
      </c>
      <c r="E45" s="32" t="s">
        <v>342</v>
      </c>
      <c r="F45" s="5" t="s">
        <v>343</v>
      </c>
      <c r="G45" s="5" t="s">
        <v>344</v>
      </c>
      <c r="H45" s="19" t="s">
        <v>345</v>
      </c>
      <c r="I45" s="19" t="s">
        <v>346</v>
      </c>
      <c r="J45" s="19" t="s">
        <v>347</v>
      </c>
      <c r="K45" s="18" t="s">
        <v>27</v>
      </c>
      <c r="L45" s="18" t="s">
        <v>28</v>
      </c>
      <c r="M45" s="34">
        <v>46154.0</v>
      </c>
      <c r="N45" s="35">
        <v>46288.0</v>
      </c>
      <c r="O45" s="19" t="s">
        <v>348</v>
      </c>
      <c r="P45" s="19" t="s">
        <v>349</v>
      </c>
      <c r="Q45" s="12" t="str">
        <f t="shared" si="1"/>
        <v>https://ec.europa.eu/info/funding-tenders/opportunities/portal/screen/opportunities/topic-details/HORIZON-CL2-2026-01-DEMOCRACY-06</v>
      </c>
    </row>
    <row r="46" ht="66.0" customHeight="1">
      <c r="A46" s="4" t="s">
        <v>17</v>
      </c>
      <c r="B46" s="4" t="s">
        <v>18</v>
      </c>
      <c r="C46" s="4" t="s">
        <v>19</v>
      </c>
      <c r="D46" s="5" t="s">
        <v>304</v>
      </c>
      <c r="E46" s="32" t="s">
        <v>350</v>
      </c>
      <c r="F46" s="5" t="s">
        <v>351</v>
      </c>
      <c r="G46" s="5" t="s">
        <v>352</v>
      </c>
      <c r="H46" s="19" t="s">
        <v>353</v>
      </c>
      <c r="I46" s="19" t="s">
        <v>354</v>
      </c>
      <c r="J46" s="19" t="s">
        <v>355</v>
      </c>
      <c r="K46" s="18" t="s">
        <v>27</v>
      </c>
      <c r="L46" s="18" t="s">
        <v>28</v>
      </c>
      <c r="M46" s="34">
        <v>46154.0</v>
      </c>
      <c r="N46" s="35">
        <v>46288.0</v>
      </c>
      <c r="O46" s="19" t="s">
        <v>356</v>
      </c>
      <c r="P46" s="19" t="s">
        <v>357</v>
      </c>
      <c r="Q46" s="12" t="str">
        <f t="shared" si="1"/>
        <v>https://ec.europa.eu/info/funding-tenders/opportunities/portal/screen/opportunities/topic-details/HORIZON-CL2-2026-01-DEMOCRACY-07</v>
      </c>
    </row>
    <row r="47" ht="66.0" customHeight="1">
      <c r="A47" s="4" t="s">
        <v>17</v>
      </c>
      <c r="B47" s="4" t="s">
        <v>18</v>
      </c>
      <c r="C47" s="4" t="s">
        <v>19</v>
      </c>
      <c r="D47" s="5" t="s">
        <v>304</v>
      </c>
      <c r="E47" s="32" t="s">
        <v>358</v>
      </c>
      <c r="F47" s="5" t="s">
        <v>359</v>
      </c>
      <c r="G47" s="5" t="s">
        <v>360</v>
      </c>
      <c r="H47" s="19" t="s">
        <v>361</v>
      </c>
      <c r="I47" s="19" t="s">
        <v>362</v>
      </c>
      <c r="J47" s="19" t="s">
        <v>363</v>
      </c>
      <c r="K47" s="18" t="s">
        <v>27</v>
      </c>
      <c r="L47" s="18" t="s">
        <v>28</v>
      </c>
      <c r="M47" s="34">
        <v>46154.0</v>
      </c>
      <c r="N47" s="35">
        <v>46288.0</v>
      </c>
      <c r="O47" s="19" t="s">
        <v>364</v>
      </c>
      <c r="P47" s="19" t="s">
        <v>365</v>
      </c>
      <c r="Q47" s="12" t="str">
        <f t="shared" si="1"/>
        <v>https://ec.europa.eu/info/funding-tenders/opportunities/portal/screen/opportunities/topic-details/HORIZON-CL2-2026-01-DEMOCRACY-08</v>
      </c>
    </row>
    <row r="48" ht="66.0" customHeight="1">
      <c r="A48" s="4" t="s">
        <v>17</v>
      </c>
      <c r="B48" s="4" t="s">
        <v>18</v>
      </c>
      <c r="C48" s="4" t="s">
        <v>19</v>
      </c>
      <c r="D48" s="5" t="s">
        <v>304</v>
      </c>
      <c r="E48" s="32" t="s">
        <v>366</v>
      </c>
      <c r="F48" s="5" t="s">
        <v>367</v>
      </c>
      <c r="G48" s="5" t="s">
        <v>368</v>
      </c>
      <c r="H48" s="19" t="s">
        <v>369</v>
      </c>
      <c r="I48" s="19" t="s">
        <v>331</v>
      </c>
      <c r="J48" s="19" t="s">
        <v>370</v>
      </c>
      <c r="K48" s="18" t="s">
        <v>27</v>
      </c>
      <c r="L48" s="18" t="s">
        <v>28</v>
      </c>
      <c r="M48" s="34">
        <v>46154.0</v>
      </c>
      <c r="N48" s="35">
        <v>46288.0</v>
      </c>
      <c r="O48" s="19" t="s">
        <v>371</v>
      </c>
      <c r="P48" s="19" t="s">
        <v>372</v>
      </c>
      <c r="Q48" s="12" t="str">
        <f t="shared" si="1"/>
        <v>https://ec.europa.eu/info/funding-tenders/opportunities/portal/screen/opportunities/topic-details/HORIZON-CL2-2026-01-DEMOCRACY-09</v>
      </c>
    </row>
    <row r="49" ht="66.0" customHeight="1">
      <c r="A49" s="4" t="s">
        <v>17</v>
      </c>
      <c r="B49" s="4" t="s">
        <v>18</v>
      </c>
      <c r="C49" s="4" t="s">
        <v>19</v>
      </c>
      <c r="D49" s="5" t="s">
        <v>304</v>
      </c>
      <c r="E49" s="32" t="s">
        <v>373</v>
      </c>
      <c r="F49" s="5" t="s">
        <v>374</v>
      </c>
      <c r="G49" s="5" t="s">
        <v>375</v>
      </c>
      <c r="H49" s="19" t="s">
        <v>330</v>
      </c>
      <c r="I49" s="19" t="s">
        <v>331</v>
      </c>
      <c r="J49" s="19" t="s">
        <v>376</v>
      </c>
      <c r="K49" s="18" t="s">
        <v>27</v>
      </c>
      <c r="L49" s="18" t="s">
        <v>28</v>
      </c>
      <c r="M49" s="34">
        <v>46154.0</v>
      </c>
      <c r="N49" s="35">
        <v>46288.0</v>
      </c>
      <c r="O49" s="19" t="s">
        <v>377</v>
      </c>
      <c r="P49" s="19" t="s">
        <v>378</v>
      </c>
      <c r="Q49" s="12" t="str">
        <f t="shared" si="1"/>
        <v>https://ec.europa.eu/info/funding-tenders/opportunities/portal/screen/opportunities/topic-details/HORIZON-CL2-2026-01-DEMOCRACY-10</v>
      </c>
    </row>
    <row r="50" ht="66.0" customHeight="1">
      <c r="A50" s="4" t="s">
        <v>17</v>
      </c>
      <c r="B50" s="4" t="s">
        <v>18</v>
      </c>
      <c r="C50" s="4" t="s">
        <v>19</v>
      </c>
      <c r="D50" s="5" t="s">
        <v>304</v>
      </c>
      <c r="E50" s="32" t="s">
        <v>379</v>
      </c>
      <c r="F50" s="5" t="s">
        <v>380</v>
      </c>
      <c r="G50" s="5" t="s">
        <v>381</v>
      </c>
      <c r="H50" s="19" t="s">
        <v>382</v>
      </c>
      <c r="I50" s="19" t="s">
        <v>331</v>
      </c>
      <c r="J50" s="19" t="s">
        <v>383</v>
      </c>
      <c r="K50" s="18" t="s">
        <v>39</v>
      </c>
      <c r="L50" s="18" t="s">
        <v>28</v>
      </c>
      <c r="M50" s="34">
        <v>46520.0</v>
      </c>
      <c r="N50" s="35">
        <v>46653.0</v>
      </c>
      <c r="O50" s="19" t="s">
        <v>384</v>
      </c>
      <c r="P50" s="19" t="s">
        <v>385</v>
      </c>
      <c r="Q50" s="12" t="str">
        <f t="shared" si="1"/>
        <v>https://ec.europa.eu/info/funding-tenders/opportunities/portal/screen/opportunities/topic-details/HORIZON-CL2-2027-01-DEMOCRACY-01</v>
      </c>
    </row>
    <row r="51" ht="66.0" customHeight="1">
      <c r="A51" s="4" t="s">
        <v>17</v>
      </c>
      <c r="B51" s="4" t="s">
        <v>18</v>
      </c>
      <c r="C51" s="4" t="s">
        <v>19</v>
      </c>
      <c r="D51" s="5" t="s">
        <v>304</v>
      </c>
      <c r="E51" s="32" t="s">
        <v>386</v>
      </c>
      <c r="F51" s="5" t="s">
        <v>387</v>
      </c>
      <c r="G51" s="5" t="s">
        <v>388</v>
      </c>
      <c r="H51" s="19" t="s">
        <v>389</v>
      </c>
      <c r="I51" s="19" t="s">
        <v>309</v>
      </c>
      <c r="J51" s="19" t="s">
        <v>390</v>
      </c>
      <c r="K51" s="18" t="s">
        <v>27</v>
      </c>
      <c r="L51" s="18" t="s">
        <v>28</v>
      </c>
      <c r="M51" s="34">
        <v>46520.0</v>
      </c>
      <c r="N51" s="35">
        <v>46653.0</v>
      </c>
      <c r="O51" s="19" t="s">
        <v>391</v>
      </c>
      <c r="P51" s="19" t="s">
        <v>392</v>
      </c>
      <c r="Q51" s="12" t="str">
        <f t="shared" si="1"/>
        <v>https://ec.europa.eu/info/funding-tenders/opportunities/portal/screen/opportunities/topic-details/HORIZON-CL2-2027-01-DEMOCRACY-02</v>
      </c>
    </row>
    <row r="52" ht="66.0" customHeight="1">
      <c r="A52" s="4" t="s">
        <v>17</v>
      </c>
      <c r="B52" s="4" t="s">
        <v>18</v>
      </c>
      <c r="C52" s="4" t="s">
        <v>19</v>
      </c>
      <c r="D52" s="5" t="s">
        <v>304</v>
      </c>
      <c r="E52" s="32" t="s">
        <v>393</v>
      </c>
      <c r="F52" s="5" t="s">
        <v>394</v>
      </c>
      <c r="G52" s="5" t="s">
        <v>395</v>
      </c>
      <c r="H52" s="19" t="s">
        <v>396</v>
      </c>
      <c r="I52" s="19" t="s">
        <v>331</v>
      </c>
      <c r="J52" s="19" t="s">
        <v>397</v>
      </c>
      <c r="K52" s="18" t="s">
        <v>27</v>
      </c>
      <c r="L52" s="18" t="s">
        <v>28</v>
      </c>
      <c r="M52" s="34">
        <v>46520.0</v>
      </c>
      <c r="N52" s="35">
        <v>46653.0</v>
      </c>
      <c r="O52" s="19" t="s">
        <v>398</v>
      </c>
      <c r="P52" s="19" t="s">
        <v>399</v>
      </c>
      <c r="Q52" s="12" t="str">
        <f t="shared" si="1"/>
        <v>https://ec.europa.eu/info/funding-tenders/opportunities/portal/screen/opportunities/topic-details/HORIZON-CL2-2027-01-DEMOCRACY-03</v>
      </c>
    </row>
    <row r="53" ht="66.0" customHeight="1">
      <c r="A53" s="4" t="s">
        <v>17</v>
      </c>
      <c r="B53" s="4" t="s">
        <v>18</v>
      </c>
      <c r="C53" s="4" t="s">
        <v>19</v>
      </c>
      <c r="D53" s="5" t="s">
        <v>304</v>
      </c>
      <c r="E53" s="32" t="s">
        <v>400</v>
      </c>
      <c r="F53" s="5" t="s">
        <v>401</v>
      </c>
      <c r="G53" s="5" t="s">
        <v>402</v>
      </c>
      <c r="H53" s="19" t="s">
        <v>403</v>
      </c>
      <c r="I53" s="19" t="s">
        <v>404</v>
      </c>
      <c r="J53" s="19" t="s">
        <v>405</v>
      </c>
      <c r="K53" s="18" t="s">
        <v>27</v>
      </c>
      <c r="L53" s="18" t="s">
        <v>28</v>
      </c>
      <c r="M53" s="34">
        <v>46520.0</v>
      </c>
      <c r="N53" s="35">
        <v>46653.0</v>
      </c>
      <c r="O53" s="19" t="s">
        <v>406</v>
      </c>
      <c r="P53" s="19" t="s">
        <v>407</v>
      </c>
      <c r="Q53" s="12" t="str">
        <f t="shared" si="1"/>
        <v>https://ec.europa.eu/info/funding-tenders/opportunities/portal/screen/opportunities/topic-details/HORIZON-CL2-2027-01-DEMOCRACY-04</v>
      </c>
    </row>
    <row r="54" ht="66.0" customHeight="1">
      <c r="A54" s="4" t="s">
        <v>17</v>
      </c>
      <c r="B54" s="4" t="s">
        <v>18</v>
      </c>
      <c r="C54" s="4" t="s">
        <v>19</v>
      </c>
      <c r="D54" s="5" t="s">
        <v>304</v>
      </c>
      <c r="E54" s="32" t="s">
        <v>408</v>
      </c>
      <c r="F54" s="5" t="s">
        <v>409</v>
      </c>
      <c r="G54" s="5" t="s">
        <v>410</v>
      </c>
      <c r="H54" s="19" t="s">
        <v>411</v>
      </c>
      <c r="I54" s="19" t="s">
        <v>73</v>
      </c>
      <c r="J54" s="19" t="s">
        <v>412</v>
      </c>
      <c r="K54" s="18" t="s">
        <v>27</v>
      </c>
      <c r="L54" s="18" t="s">
        <v>28</v>
      </c>
      <c r="M54" s="34">
        <v>46520.0</v>
      </c>
      <c r="N54" s="35">
        <v>46653.0</v>
      </c>
      <c r="O54" s="19" t="s">
        <v>413</v>
      </c>
      <c r="P54" s="19" t="s">
        <v>414</v>
      </c>
      <c r="Q54" s="12" t="str">
        <f t="shared" si="1"/>
        <v>https://ec.europa.eu/info/funding-tenders/opportunities/portal/screen/opportunities/topic-details/HORIZON-CL2-2027-01-DEMOCRACY-05</v>
      </c>
    </row>
    <row r="55" ht="66.0" customHeight="1">
      <c r="A55" s="4" t="s">
        <v>17</v>
      </c>
      <c r="B55" s="4" t="s">
        <v>18</v>
      </c>
      <c r="C55" s="4" t="s">
        <v>19</v>
      </c>
      <c r="D55" s="5" t="s">
        <v>304</v>
      </c>
      <c r="E55" s="32" t="s">
        <v>415</v>
      </c>
      <c r="F55" s="5" t="s">
        <v>416</v>
      </c>
      <c r="G55" s="5" t="s">
        <v>417</v>
      </c>
      <c r="H55" s="19" t="s">
        <v>418</v>
      </c>
      <c r="I55" s="19" t="s">
        <v>331</v>
      </c>
      <c r="J55" s="19" t="s">
        <v>419</v>
      </c>
      <c r="K55" s="18" t="s">
        <v>27</v>
      </c>
      <c r="L55" s="18" t="s">
        <v>28</v>
      </c>
      <c r="M55" s="34">
        <v>46520.0</v>
      </c>
      <c r="N55" s="35">
        <v>46653.0</v>
      </c>
      <c r="O55" s="19" t="s">
        <v>420</v>
      </c>
      <c r="P55" s="19" t="s">
        <v>421</v>
      </c>
      <c r="Q55" s="12" t="str">
        <f t="shared" si="1"/>
        <v>https://ec.europa.eu/info/funding-tenders/opportunities/portal/screen/opportunities/topic-details/HORIZON-CL2-2027-01-DEMOCRACY-06</v>
      </c>
    </row>
    <row r="56" ht="66.0" customHeight="1">
      <c r="A56" s="4" t="s">
        <v>17</v>
      </c>
      <c r="B56" s="4" t="s">
        <v>18</v>
      </c>
      <c r="C56" s="4" t="s">
        <v>19</v>
      </c>
      <c r="D56" s="5" t="s">
        <v>304</v>
      </c>
      <c r="E56" s="32" t="s">
        <v>422</v>
      </c>
      <c r="F56" s="5" t="s">
        <v>423</v>
      </c>
      <c r="G56" s="5" t="s">
        <v>424</v>
      </c>
      <c r="H56" s="19" t="s">
        <v>425</v>
      </c>
      <c r="I56" s="19" t="s">
        <v>73</v>
      </c>
      <c r="J56" s="19" t="s">
        <v>426</v>
      </c>
      <c r="K56" s="18" t="s">
        <v>27</v>
      </c>
      <c r="L56" s="18" t="s">
        <v>28</v>
      </c>
      <c r="M56" s="34">
        <v>46520.0</v>
      </c>
      <c r="N56" s="35">
        <v>46653.0</v>
      </c>
      <c r="O56" s="19" t="s">
        <v>427</v>
      </c>
      <c r="P56" s="19" t="s">
        <v>428</v>
      </c>
      <c r="Q56" s="12" t="str">
        <f t="shared" si="1"/>
        <v>https://ec.europa.eu/info/funding-tenders/opportunities/portal/screen/opportunities/topic-details/HORIZON-CL2-2027-01-DEMOCRACY-07</v>
      </c>
    </row>
    <row r="57" ht="66.0" customHeight="1">
      <c r="A57" s="4" t="s">
        <v>17</v>
      </c>
      <c r="B57" s="4" t="s">
        <v>18</v>
      </c>
      <c r="C57" s="4" t="s">
        <v>19</v>
      </c>
      <c r="D57" s="5" t="s">
        <v>304</v>
      </c>
      <c r="E57" s="32" t="s">
        <v>429</v>
      </c>
      <c r="F57" s="5" t="s">
        <v>430</v>
      </c>
      <c r="G57" s="5" t="s">
        <v>431</v>
      </c>
      <c r="H57" s="19" t="s">
        <v>432</v>
      </c>
      <c r="I57" s="19" t="s">
        <v>73</v>
      </c>
      <c r="J57" s="19" t="s">
        <v>433</v>
      </c>
      <c r="K57" s="18" t="s">
        <v>27</v>
      </c>
      <c r="L57" s="18" t="s">
        <v>28</v>
      </c>
      <c r="M57" s="34">
        <v>46520.0</v>
      </c>
      <c r="N57" s="35">
        <v>46653.0</v>
      </c>
      <c r="O57" s="19" t="s">
        <v>434</v>
      </c>
      <c r="P57" s="19" t="s">
        <v>435</v>
      </c>
      <c r="Q57" s="12" t="str">
        <f t="shared" si="1"/>
        <v>https://ec.europa.eu/info/funding-tenders/opportunities/portal/screen/opportunities/topic-details/HORIZON-CL2-2027-01-DEMOCRACY-08</v>
      </c>
    </row>
    <row r="58" ht="66.0" customHeight="1">
      <c r="A58" s="4" t="s">
        <v>17</v>
      </c>
      <c r="B58" s="4" t="s">
        <v>18</v>
      </c>
      <c r="C58" s="4" t="s">
        <v>19</v>
      </c>
      <c r="D58" s="5" t="s">
        <v>304</v>
      </c>
      <c r="E58" s="32" t="s">
        <v>436</v>
      </c>
      <c r="F58" s="5" t="s">
        <v>437</v>
      </c>
      <c r="G58" s="5" t="s">
        <v>438</v>
      </c>
      <c r="H58" s="19" t="s">
        <v>439</v>
      </c>
      <c r="I58" s="19" t="s">
        <v>309</v>
      </c>
      <c r="J58" s="19" t="s">
        <v>440</v>
      </c>
      <c r="K58" s="18" t="s">
        <v>27</v>
      </c>
      <c r="L58" s="18" t="s">
        <v>157</v>
      </c>
      <c r="M58" s="34">
        <v>46448.0</v>
      </c>
      <c r="N58" s="35" t="s">
        <v>441</v>
      </c>
      <c r="O58" s="19" t="s">
        <v>442</v>
      </c>
      <c r="P58" s="19" t="s">
        <v>443</v>
      </c>
      <c r="Q58" s="12" t="str">
        <f t="shared" si="1"/>
        <v>https://ec.europa.eu/info/funding-tenders/opportunities/portal/screen/opportunities/topic-details/HORIZON-CL2-2027-02-DEMOCRACY-09-two-stage</v>
      </c>
    </row>
    <row r="59" ht="66.0" customHeight="1">
      <c r="A59" s="4" t="s">
        <v>17</v>
      </c>
      <c r="B59" s="4" t="s">
        <v>18</v>
      </c>
      <c r="C59" s="4" t="s">
        <v>19</v>
      </c>
      <c r="D59" s="5" t="s">
        <v>304</v>
      </c>
      <c r="E59" s="32" t="s">
        <v>444</v>
      </c>
      <c r="F59" s="5" t="s">
        <v>445</v>
      </c>
      <c r="G59" s="5" t="s">
        <v>446</v>
      </c>
      <c r="H59" s="19" t="s">
        <v>447</v>
      </c>
      <c r="I59" s="19" t="s">
        <v>448</v>
      </c>
      <c r="J59" s="19" t="s">
        <v>449</v>
      </c>
      <c r="K59" s="18" t="s">
        <v>27</v>
      </c>
      <c r="L59" s="18" t="s">
        <v>28</v>
      </c>
      <c r="M59" s="34">
        <v>46154.0</v>
      </c>
      <c r="N59" s="35">
        <v>46288.0</v>
      </c>
      <c r="O59" s="19" t="s">
        <v>450</v>
      </c>
      <c r="P59" s="19" t="s">
        <v>451</v>
      </c>
      <c r="Q59" s="12" t="str">
        <f t="shared" si="1"/>
        <v>https://ec.europa.eu/info/funding-tenders/opportunities/portal/screen/opportunities/topic-details/HORIZON-CL2-2026-01-HERITAGE-01</v>
      </c>
    </row>
    <row r="60" ht="66.0" customHeight="1">
      <c r="A60" s="4" t="s">
        <v>17</v>
      </c>
      <c r="B60" s="4" t="s">
        <v>18</v>
      </c>
      <c r="C60" s="4" t="s">
        <v>19</v>
      </c>
      <c r="D60" s="5" t="s">
        <v>304</v>
      </c>
      <c r="E60" s="32" t="s">
        <v>452</v>
      </c>
      <c r="F60" s="5" t="s">
        <v>453</v>
      </c>
      <c r="G60" s="5" t="s">
        <v>454</v>
      </c>
      <c r="H60" s="19" t="s">
        <v>455</v>
      </c>
      <c r="I60" s="19" t="s">
        <v>456</v>
      </c>
      <c r="J60" s="19" t="s">
        <v>457</v>
      </c>
      <c r="K60" s="18" t="s">
        <v>239</v>
      </c>
      <c r="L60" s="18" t="s">
        <v>28</v>
      </c>
      <c r="M60" s="34">
        <v>46154.0</v>
      </c>
      <c r="N60" s="35">
        <v>46288.0</v>
      </c>
      <c r="O60" s="19" t="s">
        <v>458</v>
      </c>
      <c r="P60" s="19" t="s">
        <v>459</v>
      </c>
      <c r="Q60" s="12" t="str">
        <f t="shared" si="1"/>
        <v>https://ec.europa.eu/info/funding-tenders/opportunities/portal/screen/opportunities/topic-details/HORIZON-CL2-2026-01-HERITAGE-02</v>
      </c>
    </row>
    <row r="61" ht="66.0" customHeight="1">
      <c r="A61" s="4" t="s">
        <v>17</v>
      </c>
      <c r="B61" s="4" t="s">
        <v>18</v>
      </c>
      <c r="C61" s="4" t="s">
        <v>19</v>
      </c>
      <c r="D61" s="5" t="s">
        <v>304</v>
      </c>
      <c r="E61" s="32" t="s">
        <v>460</v>
      </c>
      <c r="F61" s="5" t="s">
        <v>461</v>
      </c>
      <c r="G61" s="5" t="s">
        <v>462</v>
      </c>
      <c r="H61" s="19" t="s">
        <v>455</v>
      </c>
      <c r="I61" s="19" t="s">
        <v>463</v>
      </c>
      <c r="J61" s="19" t="s">
        <v>464</v>
      </c>
      <c r="K61" s="18" t="s">
        <v>239</v>
      </c>
      <c r="L61" s="18" t="s">
        <v>28</v>
      </c>
      <c r="M61" s="34">
        <v>46154.0</v>
      </c>
      <c r="N61" s="35">
        <v>46288.0</v>
      </c>
      <c r="O61" s="19" t="s">
        <v>465</v>
      </c>
      <c r="P61" s="19" t="s">
        <v>466</v>
      </c>
      <c r="Q61" s="12" t="str">
        <f t="shared" si="1"/>
        <v>https://ec.europa.eu/info/funding-tenders/opportunities/portal/screen/opportunities/topic-details/HORIZON-CL2-2026-01-HERITAGE-03</v>
      </c>
    </row>
    <row r="62" ht="66.0" customHeight="1">
      <c r="A62" s="4" t="s">
        <v>17</v>
      </c>
      <c r="B62" s="4" t="s">
        <v>18</v>
      </c>
      <c r="C62" s="4" t="s">
        <v>19</v>
      </c>
      <c r="D62" s="5" t="s">
        <v>304</v>
      </c>
      <c r="E62" s="32" t="s">
        <v>467</v>
      </c>
      <c r="F62" s="5" t="s">
        <v>468</v>
      </c>
      <c r="G62" s="5" t="s">
        <v>469</v>
      </c>
      <c r="H62" s="19" t="s">
        <v>470</v>
      </c>
      <c r="I62" s="19" t="s">
        <v>471</v>
      </c>
      <c r="J62" s="19" t="s">
        <v>472</v>
      </c>
      <c r="K62" s="18" t="s">
        <v>27</v>
      </c>
      <c r="L62" s="18" t="s">
        <v>28</v>
      </c>
      <c r="M62" s="34">
        <v>46154.0</v>
      </c>
      <c r="N62" s="35">
        <v>46288.0</v>
      </c>
      <c r="O62" s="19" t="s">
        <v>473</v>
      </c>
      <c r="P62" s="19" t="s">
        <v>474</v>
      </c>
      <c r="Q62" s="12" t="str">
        <f t="shared" si="1"/>
        <v>https://ec.europa.eu/info/funding-tenders/opportunities/portal/screen/opportunities/topic-details/HORIZON-CL2-2026-01-HERITAGE-04</v>
      </c>
    </row>
    <row r="63" ht="66.0" customHeight="1">
      <c r="A63" s="4" t="s">
        <v>17</v>
      </c>
      <c r="B63" s="4" t="s">
        <v>18</v>
      </c>
      <c r="C63" s="4" t="s">
        <v>19</v>
      </c>
      <c r="D63" s="5" t="s">
        <v>304</v>
      </c>
      <c r="E63" s="32" t="s">
        <v>475</v>
      </c>
      <c r="F63" s="5" t="s">
        <v>476</v>
      </c>
      <c r="G63" s="5" t="s">
        <v>477</v>
      </c>
      <c r="H63" s="19" t="s">
        <v>478</v>
      </c>
      <c r="I63" s="19" t="s">
        <v>479</v>
      </c>
      <c r="J63" s="19" t="s">
        <v>480</v>
      </c>
      <c r="K63" s="18" t="s">
        <v>27</v>
      </c>
      <c r="L63" s="18" t="s">
        <v>28</v>
      </c>
      <c r="M63" s="34">
        <v>46154.0</v>
      </c>
      <c r="N63" s="35">
        <v>46288.0</v>
      </c>
      <c r="O63" s="19" t="s">
        <v>481</v>
      </c>
      <c r="P63" s="19" t="s">
        <v>482</v>
      </c>
      <c r="Q63" s="12" t="str">
        <f t="shared" si="1"/>
        <v>https://ec.europa.eu/info/funding-tenders/opportunities/portal/screen/opportunities/topic-details/HORIZON-CL2-2026-01-HERITAGE-05</v>
      </c>
    </row>
    <row r="64" ht="66.0" customHeight="1">
      <c r="A64" s="4" t="s">
        <v>17</v>
      </c>
      <c r="B64" s="4" t="s">
        <v>18</v>
      </c>
      <c r="C64" s="4" t="s">
        <v>19</v>
      </c>
      <c r="D64" s="5" t="s">
        <v>304</v>
      </c>
      <c r="E64" s="32" t="s">
        <v>483</v>
      </c>
      <c r="F64" s="5" t="s">
        <v>484</v>
      </c>
      <c r="G64" s="5" t="s">
        <v>485</v>
      </c>
      <c r="H64" s="19" t="s">
        <v>486</v>
      </c>
      <c r="I64" s="19" t="s">
        <v>487</v>
      </c>
      <c r="J64" s="19" t="s">
        <v>488</v>
      </c>
      <c r="K64" s="18" t="s">
        <v>27</v>
      </c>
      <c r="L64" s="18" t="s">
        <v>28</v>
      </c>
      <c r="M64" s="34">
        <v>46154.0</v>
      </c>
      <c r="N64" s="35">
        <v>46288.0</v>
      </c>
      <c r="O64" s="19" t="s">
        <v>489</v>
      </c>
      <c r="P64" s="19" t="s">
        <v>490</v>
      </c>
      <c r="Q64" s="12" t="str">
        <f t="shared" si="1"/>
        <v>https://ec.europa.eu/info/funding-tenders/opportunities/portal/screen/opportunities/topic-details/HORIZON-CL2-2026-01-HERITAGE-06</v>
      </c>
    </row>
    <row r="65" ht="66.0" customHeight="1">
      <c r="A65" s="4" t="s">
        <v>17</v>
      </c>
      <c r="B65" s="4" t="s">
        <v>18</v>
      </c>
      <c r="C65" s="4" t="s">
        <v>19</v>
      </c>
      <c r="D65" s="5" t="s">
        <v>304</v>
      </c>
      <c r="E65" s="32" t="s">
        <v>491</v>
      </c>
      <c r="F65" s="5" t="s">
        <v>492</v>
      </c>
      <c r="G65" s="5" t="s">
        <v>493</v>
      </c>
      <c r="H65" s="19" t="s">
        <v>494</v>
      </c>
      <c r="I65" s="19" t="s">
        <v>495</v>
      </c>
      <c r="J65" s="19" t="s">
        <v>496</v>
      </c>
      <c r="K65" s="18" t="s">
        <v>39</v>
      </c>
      <c r="L65" s="18" t="s">
        <v>28</v>
      </c>
      <c r="M65" s="34">
        <v>46154.0</v>
      </c>
      <c r="N65" s="35">
        <v>46288.0</v>
      </c>
      <c r="O65" s="19" t="s">
        <v>497</v>
      </c>
      <c r="P65" s="19" t="s">
        <v>498</v>
      </c>
      <c r="Q65" s="12" t="str">
        <f t="shared" si="1"/>
        <v>https://ec.europa.eu/info/funding-tenders/opportunities/portal/screen/opportunities/topic-details/HORIZON-CL2-2026-01-HERITAGE-07</v>
      </c>
    </row>
    <row r="66" ht="66.0" customHeight="1">
      <c r="A66" s="4" t="s">
        <v>17</v>
      </c>
      <c r="B66" s="4" t="s">
        <v>18</v>
      </c>
      <c r="C66" s="4" t="s">
        <v>19</v>
      </c>
      <c r="D66" s="5" t="s">
        <v>304</v>
      </c>
      <c r="E66" s="32" t="s">
        <v>499</v>
      </c>
      <c r="F66" s="5" t="s">
        <v>500</v>
      </c>
      <c r="G66" s="5" t="s">
        <v>501</v>
      </c>
      <c r="H66" s="19" t="s">
        <v>502</v>
      </c>
      <c r="I66" s="19" t="s">
        <v>456</v>
      </c>
      <c r="J66" s="19" t="s">
        <v>503</v>
      </c>
      <c r="K66" s="18" t="s">
        <v>39</v>
      </c>
      <c r="L66" s="18" t="s">
        <v>28</v>
      </c>
      <c r="M66" s="34">
        <v>46520.0</v>
      </c>
      <c r="N66" s="35">
        <v>46653.0</v>
      </c>
      <c r="O66" s="19" t="s">
        <v>504</v>
      </c>
      <c r="P66" s="19" t="s">
        <v>505</v>
      </c>
      <c r="Q66" s="12" t="str">
        <f t="shared" si="1"/>
        <v>https://ec.europa.eu/info/funding-tenders/opportunities/portal/screen/opportunities/topic-details/HORIZON-CL2-2027-01-HERITAGE-01</v>
      </c>
    </row>
    <row r="67" ht="66.0" customHeight="1">
      <c r="A67" s="4" t="s">
        <v>17</v>
      </c>
      <c r="B67" s="4" t="s">
        <v>18</v>
      </c>
      <c r="C67" s="4" t="s">
        <v>19</v>
      </c>
      <c r="D67" s="5" t="s">
        <v>304</v>
      </c>
      <c r="E67" s="32" t="s">
        <v>506</v>
      </c>
      <c r="F67" s="5" t="s">
        <v>507</v>
      </c>
      <c r="G67" s="5" t="s">
        <v>508</v>
      </c>
      <c r="H67" s="19" t="s">
        <v>509</v>
      </c>
      <c r="I67" s="19" t="s">
        <v>463</v>
      </c>
      <c r="J67" s="19" t="s">
        <v>510</v>
      </c>
      <c r="K67" s="18" t="s">
        <v>39</v>
      </c>
      <c r="L67" s="18" t="s">
        <v>28</v>
      </c>
      <c r="M67" s="34">
        <v>46520.0</v>
      </c>
      <c r="N67" s="35">
        <v>46653.0</v>
      </c>
      <c r="O67" s="19" t="s">
        <v>511</v>
      </c>
      <c r="P67" s="19" t="s">
        <v>512</v>
      </c>
      <c r="Q67" s="12" t="str">
        <f t="shared" si="1"/>
        <v>https://ec.europa.eu/info/funding-tenders/opportunities/portal/screen/opportunities/topic-details/HORIZON-CL2-2027-01-HERITAGE-02</v>
      </c>
    </row>
    <row r="68" ht="66.0" customHeight="1">
      <c r="A68" s="4" t="s">
        <v>17</v>
      </c>
      <c r="B68" s="4" t="s">
        <v>18</v>
      </c>
      <c r="C68" s="4" t="s">
        <v>19</v>
      </c>
      <c r="D68" s="5" t="s">
        <v>304</v>
      </c>
      <c r="E68" s="32" t="s">
        <v>513</v>
      </c>
      <c r="F68" s="5" t="s">
        <v>514</v>
      </c>
      <c r="G68" s="5" t="s">
        <v>515</v>
      </c>
      <c r="H68" s="19" t="s">
        <v>516</v>
      </c>
      <c r="I68" s="19" t="s">
        <v>517</v>
      </c>
      <c r="J68" s="19" t="s">
        <v>518</v>
      </c>
      <c r="K68" s="18" t="s">
        <v>27</v>
      </c>
      <c r="L68" s="18" t="s">
        <v>28</v>
      </c>
      <c r="M68" s="34">
        <v>46520.0</v>
      </c>
      <c r="N68" s="35">
        <v>46653.0</v>
      </c>
      <c r="O68" s="19" t="s">
        <v>519</v>
      </c>
      <c r="P68" s="19" t="s">
        <v>520</v>
      </c>
      <c r="Q68" s="12" t="str">
        <f t="shared" si="1"/>
        <v>https://ec.europa.eu/info/funding-tenders/opportunities/portal/screen/opportunities/topic-details/HORIZON-CL2-2027-01-HERITAGE-03</v>
      </c>
    </row>
    <row r="69" ht="66.0" customHeight="1">
      <c r="A69" s="4" t="s">
        <v>17</v>
      </c>
      <c r="B69" s="4" t="s">
        <v>18</v>
      </c>
      <c r="C69" s="4" t="s">
        <v>19</v>
      </c>
      <c r="D69" s="5" t="s">
        <v>304</v>
      </c>
      <c r="E69" s="32" t="s">
        <v>521</v>
      </c>
      <c r="F69" s="5" t="s">
        <v>522</v>
      </c>
      <c r="G69" s="5" t="s">
        <v>523</v>
      </c>
      <c r="H69" s="19" t="s">
        <v>524</v>
      </c>
      <c r="I69" s="19" t="s">
        <v>525</v>
      </c>
      <c r="J69" s="19" t="s">
        <v>526</v>
      </c>
      <c r="K69" s="18" t="s">
        <v>27</v>
      </c>
      <c r="L69" s="18" t="s">
        <v>28</v>
      </c>
      <c r="M69" s="34">
        <v>46520.0</v>
      </c>
      <c r="N69" s="35">
        <v>46653.0</v>
      </c>
      <c r="O69" s="19" t="s">
        <v>527</v>
      </c>
      <c r="P69" s="19" t="s">
        <v>528</v>
      </c>
      <c r="Q69" s="12" t="str">
        <f t="shared" si="1"/>
        <v>https://ec.europa.eu/info/funding-tenders/opportunities/portal/screen/opportunities/topic-details/HORIZON-CL2-2027-01-HERITAGE-04</v>
      </c>
    </row>
    <row r="70" ht="66.0" customHeight="1">
      <c r="A70" s="4" t="s">
        <v>17</v>
      </c>
      <c r="B70" s="4" t="s">
        <v>18</v>
      </c>
      <c r="C70" s="4" t="s">
        <v>19</v>
      </c>
      <c r="D70" s="5" t="s">
        <v>304</v>
      </c>
      <c r="E70" s="32" t="s">
        <v>529</v>
      </c>
      <c r="F70" s="5" t="s">
        <v>530</v>
      </c>
      <c r="G70" s="5" t="s">
        <v>531</v>
      </c>
      <c r="H70" s="19" t="s">
        <v>532</v>
      </c>
      <c r="I70" s="19" t="s">
        <v>533</v>
      </c>
      <c r="J70" s="19" t="s">
        <v>534</v>
      </c>
      <c r="K70" s="18" t="s">
        <v>27</v>
      </c>
      <c r="L70" s="18" t="s">
        <v>28</v>
      </c>
      <c r="M70" s="34">
        <v>46520.0</v>
      </c>
      <c r="N70" s="35">
        <v>46653.0</v>
      </c>
      <c r="O70" s="19" t="s">
        <v>535</v>
      </c>
      <c r="P70" s="19" t="s">
        <v>536</v>
      </c>
      <c r="Q70" s="12" t="str">
        <f t="shared" si="1"/>
        <v>https://ec.europa.eu/info/funding-tenders/opportunities/portal/screen/opportunities/topic-details/HORIZON-CL2-2027-01-HERITAGE-05</v>
      </c>
    </row>
    <row r="71" ht="66.0" customHeight="1">
      <c r="A71" s="4" t="s">
        <v>17</v>
      </c>
      <c r="B71" s="4" t="s">
        <v>18</v>
      </c>
      <c r="C71" s="4" t="s">
        <v>19</v>
      </c>
      <c r="D71" s="5" t="s">
        <v>304</v>
      </c>
      <c r="E71" s="32" t="s">
        <v>537</v>
      </c>
      <c r="F71" s="5" t="s">
        <v>538</v>
      </c>
      <c r="G71" s="5" t="s">
        <v>539</v>
      </c>
      <c r="H71" s="19" t="s">
        <v>540</v>
      </c>
      <c r="I71" s="19" t="s">
        <v>517</v>
      </c>
      <c r="J71" s="19" t="s">
        <v>541</v>
      </c>
      <c r="K71" s="18" t="s">
        <v>27</v>
      </c>
      <c r="L71" s="18" t="s">
        <v>28</v>
      </c>
      <c r="M71" s="34">
        <v>46520.0</v>
      </c>
      <c r="N71" s="35">
        <v>46653.0</v>
      </c>
      <c r="O71" s="19" t="s">
        <v>542</v>
      </c>
      <c r="P71" s="19" t="s">
        <v>543</v>
      </c>
      <c r="Q71" s="12" t="str">
        <f t="shared" si="1"/>
        <v>https://ec.europa.eu/info/funding-tenders/opportunities/portal/screen/opportunities/topic-details/HORIZON-CL2-2027-01-HERITAGE-06</v>
      </c>
    </row>
    <row r="72" ht="66.0" customHeight="1">
      <c r="A72" s="4" t="s">
        <v>17</v>
      </c>
      <c r="B72" s="4" t="s">
        <v>18</v>
      </c>
      <c r="C72" s="4" t="s">
        <v>19</v>
      </c>
      <c r="D72" s="5" t="s">
        <v>304</v>
      </c>
      <c r="E72" s="32" t="s">
        <v>544</v>
      </c>
      <c r="F72" s="5" t="s">
        <v>545</v>
      </c>
      <c r="G72" s="5" t="s">
        <v>546</v>
      </c>
      <c r="H72" s="19" t="s">
        <v>547</v>
      </c>
      <c r="I72" s="19" t="s">
        <v>448</v>
      </c>
      <c r="J72" s="19" t="s">
        <v>548</v>
      </c>
      <c r="K72" s="18" t="s">
        <v>27</v>
      </c>
      <c r="L72" s="18" t="s">
        <v>28</v>
      </c>
      <c r="M72" s="34">
        <v>46520.0</v>
      </c>
      <c r="N72" s="35">
        <v>46653.0</v>
      </c>
      <c r="O72" s="19" t="s">
        <v>549</v>
      </c>
      <c r="P72" s="19" t="s">
        <v>550</v>
      </c>
      <c r="Q72" s="12" t="str">
        <f t="shared" si="1"/>
        <v>https://ec.europa.eu/info/funding-tenders/opportunities/portal/screen/opportunities/topic-details/HORIZON-CL2-2027-01-HERITAGE-07</v>
      </c>
    </row>
    <row r="73" ht="66.0" customHeight="1">
      <c r="A73" s="4" t="s">
        <v>17</v>
      </c>
      <c r="B73" s="4" t="s">
        <v>18</v>
      </c>
      <c r="C73" s="4" t="s">
        <v>19</v>
      </c>
      <c r="D73" s="5" t="s">
        <v>304</v>
      </c>
      <c r="E73" s="32" t="s">
        <v>551</v>
      </c>
      <c r="F73" s="5" t="s">
        <v>552</v>
      </c>
      <c r="G73" s="5" t="s">
        <v>553</v>
      </c>
      <c r="H73" s="19" t="s">
        <v>554</v>
      </c>
      <c r="I73" s="19" t="s">
        <v>448</v>
      </c>
      <c r="J73" s="19" t="s">
        <v>555</v>
      </c>
      <c r="K73" s="18" t="s">
        <v>27</v>
      </c>
      <c r="L73" s="18" t="s">
        <v>28</v>
      </c>
      <c r="M73" s="34">
        <v>46520.0</v>
      </c>
      <c r="N73" s="35">
        <v>46653.0</v>
      </c>
      <c r="O73" s="19" t="s">
        <v>556</v>
      </c>
      <c r="P73" s="19" t="s">
        <v>557</v>
      </c>
      <c r="Q73" s="12" t="str">
        <f t="shared" si="1"/>
        <v>https://ec.europa.eu/info/funding-tenders/opportunities/portal/screen/opportunities/topic-details/HORIZON-CL2-2027-01-HERITAGE-08</v>
      </c>
    </row>
    <row r="74" ht="66.0" customHeight="1">
      <c r="A74" s="4" t="s">
        <v>17</v>
      </c>
      <c r="B74" s="4" t="s">
        <v>18</v>
      </c>
      <c r="C74" s="4" t="s">
        <v>19</v>
      </c>
      <c r="D74" s="5" t="s">
        <v>304</v>
      </c>
      <c r="E74" s="32" t="s">
        <v>558</v>
      </c>
      <c r="F74" s="5" t="s">
        <v>559</v>
      </c>
      <c r="G74" s="5" t="s">
        <v>560</v>
      </c>
      <c r="H74" s="19" t="s">
        <v>561</v>
      </c>
      <c r="I74" s="19" t="s">
        <v>562</v>
      </c>
      <c r="J74" s="19" t="s">
        <v>563</v>
      </c>
      <c r="K74" s="18" t="s">
        <v>27</v>
      </c>
      <c r="L74" s="18" t="s">
        <v>157</v>
      </c>
      <c r="M74" s="34">
        <v>46448.0</v>
      </c>
      <c r="N74" s="35" t="s">
        <v>441</v>
      </c>
      <c r="O74" s="19" t="s">
        <v>564</v>
      </c>
      <c r="P74" s="19" t="s">
        <v>565</v>
      </c>
      <c r="Q74" s="12" t="str">
        <f t="shared" si="1"/>
        <v>https://ec.europa.eu/info/funding-tenders/opportunities/portal/screen/opportunities/topic-details/HORIZON-CL2-2027-02-HERITAGE-09-two-stage</v>
      </c>
    </row>
    <row r="75" ht="66.0" customHeight="1">
      <c r="A75" s="4" t="s">
        <v>17</v>
      </c>
      <c r="B75" s="4" t="s">
        <v>18</v>
      </c>
      <c r="C75" s="4" t="s">
        <v>19</v>
      </c>
      <c r="D75" s="5" t="s">
        <v>304</v>
      </c>
      <c r="E75" s="32" t="s">
        <v>566</v>
      </c>
      <c r="F75" s="5" t="s">
        <v>567</v>
      </c>
      <c r="G75" s="5" t="s">
        <v>568</v>
      </c>
      <c r="H75" s="19"/>
      <c r="I75" s="19" t="s">
        <v>533</v>
      </c>
      <c r="J75" s="19" t="s">
        <v>569</v>
      </c>
      <c r="K75" s="18" t="s">
        <v>136</v>
      </c>
      <c r="L75" s="18" t="s">
        <v>28</v>
      </c>
      <c r="M75" s="34">
        <v>46154.0</v>
      </c>
      <c r="N75" s="35">
        <v>46308.0</v>
      </c>
      <c r="O75" s="19" t="s">
        <v>570</v>
      </c>
      <c r="P75" s="19" t="s">
        <v>571</v>
      </c>
      <c r="Q75" s="12" t="str">
        <f t="shared" si="1"/>
        <v>https://ec.europa.eu/info/funding-tenders/opportunities/portal/screen/opportunities/topic-details/HORIZON-CL2-2026-02-TRANSFO-01</v>
      </c>
    </row>
    <row r="76" ht="66.0" customHeight="1">
      <c r="A76" s="4" t="s">
        <v>17</v>
      </c>
      <c r="B76" s="4" t="s">
        <v>18</v>
      </c>
      <c r="C76" s="4" t="s">
        <v>19</v>
      </c>
      <c r="D76" s="5" t="s">
        <v>304</v>
      </c>
      <c r="E76" s="32" t="s">
        <v>572</v>
      </c>
      <c r="F76" s="5" t="s">
        <v>573</v>
      </c>
      <c r="G76" s="5" t="s">
        <v>574</v>
      </c>
      <c r="H76" s="19" t="s">
        <v>575</v>
      </c>
      <c r="I76" s="19" t="s">
        <v>576</v>
      </c>
      <c r="J76" s="19" t="s">
        <v>577</v>
      </c>
      <c r="K76" s="18" t="s">
        <v>27</v>
      </c>
      <c r="L76" s="18" t="s">
        <v>28</v>
      </c>
      <c r="M76" s="34">
        <v>46154.0</v>
      </c>
      <c r="N76" s="35">
        <v>46288.0</v>
      </c>
      <c r="O76" s="19" t="s">
        <v>578</v>
      </c>
      <c r="P76" s="19" t="s">
        <v>579</v>
      </c>
      <c r="Q76" s="12" t="str">
        <f t="shared" si="1"/>
        <v>https://ec.europa.eu/info/funding-tenders/opportunities/portal/screen/opportunities/topic-details/HORIZON-CL2-2026-01-TRANSFO-02</v>
      </c>
    </row>
    <row r="77" ht="66.0" customHeight="1">
      <c r="A77" s="4" t="s">
        <v>17</v>
      </c>
      <c r="B77" s="4" t="s">
        <v>18</v>
      </c>
      <c r="C77" s="4" t="s">
        <v>19</v>
      </c>
      <c r="D77" s="5" t="s">
        <v>304</v>
      </c>
      <c r="E77" s="32" t="s">
        <v>580</v>
      </c>
      <c r="F77" s="5" t="s">
        <v>581</v>
      </c>
      <c r="G77" s="5" t="s">
        <v>582</v>
      </c>
      <c r="H77" s="19" t="s">
        <v>583</v>
      </c>
      <c r="I77" s="19" t="s">
        <v>584</v>
      </c>
      <c r="J77" s="19" t="s">
        <v>585</v>
      </c>
      <c r="K77" s="18" t="s">
        <v>27</v>
      </c>
      <c r="L77" s="18" t="s">
        <v>28</v>
      </c>
      <c r="M77" s="34">
        <v>46154.0</v>
      </c>
      <c r="N77" s="35">
        <v>46288.0</v>
      </c>
      <c r="O77" s="19" t="s">
        <v>586</v>
      </c>
      <c r="P77" s="19" t="s">
        <v>587</v>
      </c>
      <c r="Q77" s="12" t="str">
        <f t="shared" si="1"/>
        <v>https://ec.europa.eu/info/funding-tenders/opportunities/portal/screen/opportunities/topic-details/HORIZON-CL2-2026-01-TRANSFO-03</v>
      </c>
    </row>
    <row r="78" ht="66.0" customHeight="1">
      <c r="A78" s="4" t="s">
        <v>17</v>
      </c>
      <c r="B78" s="4" t="s">
        <v>18</v>
      </c>
      <c r="C78" s="4" t="s">
        <v>19</v>
      </c>
      <c r="D78" s="5" t="s">
        <v>304</v>
      </c>
      <c r="E78" s="32" t="s">
        <v>588</v>
      </c>
      <c r="F78" s="5" t="s">
        <v>589</v>
      </c>
      <c r="G78" s="5" t="s">
        <v>590</v>
      </c>
      <c r="H78" s="19" t="s">
        <v>591</v>
      </c>
      <c r="I78" s="19" t="s">
        <v>592</v>
      </c>
      <c r="J78" s="19" t="s">
        <v>593</v>
      </c>
      <c r="K78" s="18" t="s">
        <v>27</v>
      </c>
      <c r="L78" s="18" t="s">
        <v>28</v>
      </c>
      <c r="M78" s="34">
        <v>46154.0</v>
      </c>
      <c r="N78" s="35">
        <v>46288.0</v>
      </c>
      <c r="O78" s="19" t="s">
        <v>594</v>
      </c>
      <c r="P78" s="19" t="s">
        <v>595</v>
      </c>
      <c r="Q78" s="12" t="str">
        <f t="shared" si="1"/>
        <v>https://ec.europa.eu/info/funding-tenders/opportunities/portal/screen/opportunities/topic-details/HORIZON-CL2-2026-01-TRANSFO-04</v>
      </c>
    </row>
    <row r="79" ht="66.0" customHeight="1">
      <c r="A79" s="4" t="s">
        <v>17</v>
      </c>
      <c r="B79" s="4" t="s">
        <v>18</v>
      </c>
      <c r="C79" s="4" t="s">
        <v>19</v>
      </c>
      <c r="D79" s="5" t="s">
        <v>304</v>
      </c>
      <c r="E79" s="32" t="s">
        <v>596</v>
      </c>
      <c r="F79" s="5" t="s">
        <v>597</v>
      </c>
      <c r="G79" s="5" t="s">
        <v>598</v>
      </c>
      <c r="H79" s="19" t="s">
        <v>583</v>
      </c>
      <c r="I79" s="19" t="s">
        <v>576</v>
      </c>
      <c r="J79" s="19" t="s">
        <v>599</v>
      </c>
      <c r="K79" s="18" t="s">
        <v>27</v>
      </c>
      <c r="L79" s="18" t="s">
        <v>28</v>
      </c>
      <c r="M79" s="34">
        <v>46154.0</v>
      </c>
      <c r="N79" s="35">
        <v>46288.0</v>
      </c>
      <c r="O79" s="19" t="s">
        <v>600</v>
      </c>
      <c r="P79" s="19" t="s">
        <v>601</v>
      </c>
      <c r="Q79" s="12" t="str">
        <f t="shared" si="1"/>
        <v>https://ec.europa.eu/info/funding-tenders/opportunities/portal/screen/opportunities/topic-details/HORIZON-CL2-2026-01-TRANSFO-05</v>
      </c>
    </row>
    <row r="80" ht="66.0" customHeight="1">
      <c r="A80" s="4" t="s">
        <v>17</v>
      </c>
      <c r="B80" s="4" t="s">
        <v>18</v>
      </c>
      <c r="C80" s="4" t="s">
        <v>19</v>
      </c>
      <c r="D80" s="5" t="s">
        <v>304</v>
      </c>
      <c r="E80" s="32" t="s">
        <v>602</v>
      </c>
      <c r="F80" s="5" t="s">
        <v>603</v>
      </c>
      <c r="G80" s="5" t="s">
        <v>604</v>
      </c>
      <c r="H80" s="19" t="s">
        <v>605</v>
      </c>
      <c r="I80" s="19" t="s">
        <v>606</v>
      </c>
      <c r="J80" s="19" t="s">
        <v>607</v>
      </c>
      <c r="K80" s="18" t="s">
        <v>27</v>
      </c>
      <c r="L80" s="18" t="s">
        <v>28</v>
      </c>
      <c r="M80" s="34">
        <v>46154.0</v>
      </c>
      <c r="N80" s="35">
        <v>46288.0</v>
      </c>
      <c r="O80" s="19" t="s">
        <v>608</v>
      </c>
      <c r="P80" s="19" t="s">
        <v>609</v>
      </c>
      <c r="Q80" s="12" t="str">
        <f t="shared" si="1"/>
        <v>https://ec.europa.eu/info/funding-tenders/opportunities/portal/screen/opportunities/topic-details/HORIZON-CL2-2026-01-TRANSFO-06</v>
      </c>
    </row>
    <row r="81" ht="66.0" customHeight="1">
      <c r="A81" s="4" t="s">
        <v>17</v>
      </c>
      <c r="B81" s="4" t="s">
        <v>18</v>
      </c>
      <c r="C81" s="4" t="s">
        <v>19</v>
      </c>
      <c r="D81" s="5" t="s">
        <v>304</v>
      </c>
      <c r="E81" s="32" t="s">
        <v>610</v>
      </c>
      <c r="F81" s="5" t="s">
        <v>611</v>
      </c>
      <c r="G81" s="5" t="s">
        <v>612</v>
      </c>
      <c r="H81" s="19" t="s">
        <v>613</v>
      </c>
      <c r="I81" s="19" t="s">
        <v>614</v>
      </c>
      <c r="J81" s="19" t="s">
        <v>615</v>
      </c>
      <c r="K81" s="18" t="s">
        <v>27</v>
      </c>
      <c r="L81" s="18" t="s">
        <v>28</v>
      </c>
      <c r="M81" s="34">
        <v>46154.0</v>
      </c>
      <c r="N81" s="35">
        <v>46288.0</v>
      </c>
      <c r="O81" s="19" t="s">
        <v>616</v>
      </c>
      <c r="P81" s="19" t="s">
        <v>617</v>
      </c>
      <c r="Q81" s="12" t="str">
        <f t="shared" si="1"/>
        <v>https://ec.europa.eu/info/funding-tenders/opportunities/portal/screen/opportunities/topic-details/HORIZON-CL2-2026-01-TRANSFO-07</v>
      </c>
    </row>
    <row r="82" ht="66.0" customHeight="1">
      <c r="A82" s="4" t="s">
        <v>17</v>
      </c>
      <c r="B82" s="4" t="s">
        <v>18</v>
      </c>
      <c r="C82" s="4" t="s">
        <v>19</v>
      </c>
      <c r="D82" s="5" t="s">
        <v>304</v>
      </c>
      <c r="E82" s="32" t="s">
        <v>618</v>
      </c>
      <c r="F82" s="5" t="s">
        <v>619</v>
      </c>
      <c r="G82" s="5" t="s">
        <v>620</v>
      </c>
      <c r="H82" s="19" t="s">
        <v>621</v>
      </c>
      <c r="I82" s="19" t="s">
        <v>622</v>
      </c>
      <c r="J82" s="19" t="s">
        <v>623</v>
      </c>
      <c r="K82" s="18" t="s">
        <v>27</v>
      </c>
      <c r="L82" s="18" t="s">
        <v>28</v>
      </c>
      <c r="M82" s="34">
        <v>46154.0</v>
      </c>
      <c r="N82" s="35">
        <v>46288.0</v>
      </c>
      <c r="O82" s="19" t="s">
        <v>624</v>
      </c>
      <c r="P82" s="19" t="s">
        <v>625</v>
      </c>
      <c r="Q82" s="12" t="str">
        <f t="shared" si="1"/>
        <v>https://ec.europa.eu/info/funding-tenders/opportunities/portal/screen/opportunities/topic-details/HORIZON-CL2-2026-01-TRANSFO-08</v>
      </c>
    </row>
    <row r="83" ht="66.0" customHeight="1">
      <c r="A83" s="4" t="s">
        <v>17</v>
      </c>
      <c r="B83" s="4" t="s">
        <v>18</v>
      </c>
      <c r="C83" s="4" t="s">
        <v>19</v>
      </c>
      <c r="D83" s="5" t="s">
        <v>304</v>
      </c>
      <c r="E83" s="32" t="s">
        <v>626</v>
      </c>
      <c r="F83" s="5" t="s">
        <v>627</v>
      </c>
      <c r="G83" s="5" t="s">
        <v>628</v>
      </c>
      <c r="H83" s="19" t="s">
        <v>629</v>
      </c>
      <c r="I83" s="19" t="s">
        <v>622</v>
      </c>
      <c r="J83" s="19" t="s">
        <v>630</v>
      </c>
      <c r="K83" s="18" t="s">
        <v>27</v>
      </c>
      <c r="L83" s="18" t="s">
        <v>28</v>
      </c>
      <c r="M83" s="34">
        <v>46154.0</v>
      </c>
      <c r="N83" s="35">
        <v>46288.0</v>
      </c>
      <c r="O83" s="19" t="s">
        <v>631</v>
      </c>
      <c r="P83" s="19" t="s">
        <v>632</v>
      </c>
      <c r="Q83" s="12" t="str">
        <f t="shared" si="1"/>
        <v>https://ec.europa.eu/info/funding-tenders/opportunities/portal/screen/opportunities/topic-details/HORIZON-CL2-2026-01-TRANSFO-09</v>
      </c>
    </row>
    <row r="84" ht="66.0" customHeight="1">
      <c r="A84" s="4" t="s">
        <v>17</v>
      </c>
      <c r="B84" s="4" t="s">
        <v>18</v>
      </c>
      <c r="C84" s="4" t="s">
        <v>19</v>
      </c>
      <c r="D84" s="5" t="s">
        <v>304</v>
      </c>
      <c r="E84" s="32" t="s">
        <v>633</v>
      </c>
      <c r="F84" s="5" t="s">
        <v>634</v>
      </c>
      <c r="G84" s="5" t="s">
        <v>635</v>
      </c>
      <c r="H84" s="19" t="s">
        <v>636</v>
      </c>
      <c r="I84" s="19" t="s">
        <v>533</v>
      </c>
      <c r="J84" s="19" t="s">
        <v>637</v>
      </c>
      <c r="K84" s="18" t="s">
        <v>39</v>
      </c>
      <c r="L84" s="18" t="s">
        <v>28</v>
      </c>
      <c r="M84" s="34">
        <v>46154.0</v>
      </c>
      <c r="N84" s="35">
        <v>46288.0</v>
      </c>
      <c r="O84" s="19" t="s">
        <v>638</v>
      </c>
      <c r="P84" s="19" t="s">
        <v>639</v>
      </c>
      <c r="Q84" s="12" t="str">
        <f t="shared" si="1"/>
        <v>https://ec.europa.eu/info/funding-tenders/opportunities/portal/screen/opportunities/topic-details/HORIZON-CL2-2026-01-TRANSFO-10</v>
      </c>
    </row>
    <row r="85" ht="66.0" customHeight="1">
      <c r="A85" s="4" t="s">
        <v>17</v>
      </c>
      <c r="B85" s="4" t="s">
        <v>18</v>
      </c>
      <c r="C85" s="4" t="s">
        <v>19</v>
      </c>
      <c r="D85" s="5" t="s">
        <v>304</v>
      </c>
      <c r="E85" s="32" t="s">
        <v>640</v>
      </c>
      <c r="F85" s="5" t="s">
        <v>641</v>
      </c>
      <c r="G85" s="5" t="s">
        <v>642</v>
      </c>
      <c r="H85" s="19" t="s">
        <v>643</v>
      </c>
      <c r="I85" s="19" t="s">
        <v>614</v>
      </c>
      <c r="J85" s="19" t="s">
        <v>644</v>
      </c>
      <c r="K85" s="18" t="s">
        <v>27</v>
      </c>
      <c r="L85" s="18" t="s">
        <v>28</v>
      </c>
      <c r="M85" s="34">
        <v>46520.0</v>
      </c>
      <c r="N85" s="35">
        <v>46653.0</v>
      </c>
      <c r="O85" s="19" t="s">
        <v>645</v>
      </c>
      <c r="P85" s="19" t="s">
        <v>646</v>
      </c>
      <c r="Q85" s="12" t="str">
        <f t="shared" si="1"/>
        <v>https://ec.europa.eu/info/funding-tenders/opportunities/portal/screen/opportunities/topic-details/HORIZON-CL2-2027-01-TRANSFO-01</v>
      </c>
    </row>
    <row r="86" ht="66.0" customHeight="1">
      <c r="A86" s="4" t="s">
        <v>17</v>
      </c>
      <c r="B86" s="4" t="s">
        <v>18</v>
      </c>
      <c r="C86" s="4" t="s">
        <v>19</v>
      </c>
      <c r="D86" s="5" t="s">
        <v>304</v>
      </c>
      <c r="E86" s="32" t="s">
        <v>647</v>
      </c>
      <c r="F86" s="5" t="s">
        <v>648</v>
      </c>
      <c r="G86" s="5" t="s">
        <v>649</v>
      </c>
      <c r="H86" s="19" t="s">
        <v>650</v>
      </c>
      <c r="I86" s="19" t="s">
        <v>576</v>
      </c>
      <c r="J86" s="19" t="s">
        <v>651</v>
      </c>
      <c r="K86" s="18" t="s">
        <v>27</v>
      </c>
      <c r="L86" s="18" t="s">
        <v>28</v>
      </c>
      <c r="M86" s="34">
        <v>46520.0</v>
      </c>
      <c r="N86" s="35">
        <v>46653.0</v>
      </c>
      <c r="O86" s="19" t="s">
        <v>652</v>
      </c>
      <c r="P86" s="19" t="s">
        <v>653</v>
      </c>
      <c r="Q86" s="12" t="str">
        <f t="shared" si="1"/>
        <v>https://ec.europa.eu/info/funding-tenders/opportunities/portal/screen/opportunities/topic-details/HORIZON-CL2-2027-01-TRANSFO-02</v>
      </c>
    </row>
    <row r="87" ht="66.0" customHeight="1">
      <c r="A87" s="4" t="s">
        <v>17</v>
      </c>
      <c r="B87" s="4" t="s">
        <v>18</v>
      </c>
      <c r="C87" s="4" t="s">
        <v>19</v>
      </c>
      <c r="D87" s="5" t="s">
        <v>304</v>
      </c>
      <c r="E87" s="32" t="s">
        <v>654</v>
      </c>
      <c r="F87" s="5" t="s">
        <v>655</v>
      </c>
      <c r="G87" s="5" t="s">
        <v>656</v>
      </c>
      <c r="H87" s="19" t="s">
        <v>657</v>
      </c>
      <c r="I87" s="19" t="s">
        <v>533</v>
      </c>
      <c r="J87" s="19" t="s">
        <v>658</v>
      </c>
      <c r="K87" s="18" t="s">
        <v>27</v>
      </c>
      <c r="L87" s="18" t="s">
        <v>28</v>
      </c>
      <c r="M87" s="34">
        <v>46520.0</v>
      </c>
      <c r="N87" s="35">
        <v>46653.0</v>
      </c>
      <c r="O87" s="19" t="s">
        <v>659</v>
      </c>
      <c r="P87" s="19" t="s">
        <v>660</v>
      </c>
      <c r="Q87" s="12" t="str">
        <f t="shared" si="1"/>
        <v>https://ec.europa.eu/info/funding-tenders/opportunities/portal/screen/opportunities/topic-details/HORIZON-CL2-2027-01-TRANSFO-03</v>
      </c>
    </row>
    <row r="88" ht="66.0" customHeight="1">
      <c r="A88" s="4" t="s">
        <v>17</v>
      </c>
      <c r="B88" s="4" t="s">
        <v>18</v>
      </c>
      <c r="C88" s="4" t="s">
        <v>19</v>
      </c>
      <c r="D88" s="5" t="s">
        <v>304</v>
      </c>
      <c r="E88" s="32" t="s">
        <v>661</v>
      </c>
      <c r="F88" s="5" t="s">
        <v>662</v>
      </c>
      <c r="G88" s="5" t="s">
        <v>663</v>
      </c>
      <c r="H88" s="19" t="s">
        <v>664</v>
      </c>
      <c r="I88" s="19" t="s">
        <v>606</v>
      </c>
      <c r="J88" s="19" t="s">
        <v>665</v>
      </c>
      <c r="K88" s="18" t="s">
        <v>27</v>
      </c>
      <c r="L88" s="18" t="s">
        <v>28</v>
      </c>
      <c r="M88" s="34">
        <v>46520.0</v>
      </c>
      <c r="N88" s="35">
        <v>46653.0</v>
      </c>
      <c r="O88" s="19" t="s">
        <v>666</v>
      </c>
      <c r="P88" s="19" t="s">
        <v>667</v>
      </c>
      <c r="Q88" s="12" t="str">
        <f t="shared" si="1"/>
        <v>https://ec.europa.eu/info/funding-tenders/opportunities/portal/screen/opportunities/topic-details/HORIZON-CL2-2027-01-TRANSFO-04</v>
      </c>
    </row>
    <row r="89" ht="66.0" customHeight="1">
      <c r="A89" s="4" t="s">
        <v>17</v>
      </c>
      <c r="B89" s="4" t="s">
        <v>18</v>
      </c>
      <c r="C89" s="4" t="s">
        <v>19</v>
      </c>
      <c r="D89" s="5" t="s">
        <v>304</v>
      </c>
      <c r="E89" s="32" t="s">
        <v>668</v>
      </c>
      <c r="F89" s="5" t="s">
        <v>669</v>
      </c>
      <c r="G89" s="5" t="s">
        <v>670</v>
      </c>
      <c r="H89" s="19" t="s">
        <v>671</v>
      </c>
      <c r="I89" s="19" t="s">
        <v>404</v>
      </c>
      <c r="J89" s="19" t="s">
        <v>672</v>
      </c>
      <c r="K89" s="18" t="s">
        <v>27</v>
      </c>
      <c r="L89" s="18" t="s">
        <v>28</v>
      </c>
      <c r="M89" s="34">
        <v>46520.0</v>
      </c>
      <c r="N89" s="35">
        <v>46653.0</v>
      </c>
      <c r="O89" s="19" t="s">
        <v>673</v>
      </c>
      <c r="P89" s="19" t="s">
        <v>674</v>
      </c>
      <c r="Q89" s="12" t="str">
        <f t="shared" si="1"/>
        <v>https://ec.europa.eu/info/funding-tenders/opportunities/portal/screen/opportunities/topic-details/HORIZON-CL2-2027-01-TRANSFO-05</v>
      </c>
    </row>
    <row r="90" ht="66.0" customHeight="1">
      <c r="A90" s="4" t="s">
        <v>17</v>
      </c>
      <c r="B90" s="4" t="s">
        <v>18</v>
      </c>
      <c r="C90" s="4" t="s">
        <v>19</v>
      </c>
      <c r="D90" s="5" t="s">
        <v>304</v>
      </c>
      <c r="E90" s="32" t="s">
        <v>675</v>
      </c>
      <c r="F90" s="5" t="s">
        <v>676</v>
      </c>
      <c r="G90" s="5" t="s">
        <v>677</v>
      </c>
      <c r="H90" s="19" t="s">
        <v>678</v>
      </c>
      <c r="I90" s="19" t="s">
        <v>584</v>
      </c>
      <c r="J90" s="19" t="s">
        <v>679</v>
      </c>
      <c r="K90" s="18" t="s">
        <v>27</v>
      </c>
      <c r="L90" s="18" t="s">
        <v>28</v>
      </c>
      <c r="M90" s="34">
        <v>46520.0</v>
      </c>
      <c r="N90" s="35">
        <v>46653.0</v>
      </c>
      <c r="O90" s="19" t="s">
        <v>680</v>
      </c>
      <c r="P90" s="19" t="s">
        <v>681</v>
      </c>
      <c r="Q90" s="12" t="str">
        <f t="shared" si="1"/>
        <v>https://ec.europa.eu/info/funding-tenders/opportunities/portal/screen/opportunities/topic-details/HORIZON-CL2-2027-01-TRANSFO-06</v>
      </c>
    </row>
    <row r="91" ht="66.0" customHeight="1">
      <c r="A91" s="4" t="s">
        <v>17</v>
      </c>
      <c r="B91" s="4" t="s">
        <v>18</v>
      </c>
      <c r="C91" s="4" t="s">
        <v>19</v>
      </c>
      <c r="D91" s="5" t="s">
        <v>304</v>
      </c>
      <c r="E91" s="32" t="s">
        <v>682</v>
      </c>
      <c r="F91" s="5" t="s">
        <v>683</v>
      </c>
      <c r="G91" s="5" t="s">
        <v>684</v>
      </c>
      <c r="H91" s="19" t="s">
        <v>685</v>
      </c>
      <c r="I91" s="19" t="s">
        <v>533</v>
      </c>
      <c r="J91" s="19" t="s">
        <v>686</v>
      </c>
      <c r="K91" s="18" t="s">
        <v>27</v>
      </c>
      <c r="L91" s="18" t="s">
        <v>28</v>
      </c>
      <c r="M91" s="34">
        <v>46520.0</v>
      </c>
      <c r="N91" s="35">
        <v>46653.0</v>
      </c>
      <c r="O91" s="19" t="s">
        <v>687</v>
      </c>
      <c r="P91" s="19" t="s">
        <v>688</v>
      </c>
      <c r="Q91" s="12" t="str">
        <f t="shared" si="1"/>
        <v>https://ec.europa.eu/info/funding-tenders/opportunities/portal/screen/opportunities/topic-details/HORIZON-CL2-2027-01-TRANSFO-07</v>
      </c>
    </row>
    <row r="92" ht="66.0" customHeight="1">
      <c r="A92" s="4" t="s">
        <v>17</v>
      </c>
      <c r="B92" s="4" t="s">
        <v>18</v>
      </c>
      <c r="C92" s="4" t="s">
        <v>19</v>
      </c>
      <c r="D92" s="5" t="s">
        <v>304</v>
      </c>
      <c r="E92" s="32" t="s">
        <v>689</v>
      </c>
      <c r="F92" s="5" t="s">
        <v>690</v>
      </c>
      <c r="G92" s="5" t="s">
        <v>691</v>
      </c>
      <c r="H92" s="19" t="s">
        <v>692</v>
      </c>
      <c r="I92" s="19" t="s">
        <v>606</v>
      </c>
      <c r="J92" s="19" t="s">
        <v>693</v>
      </c>
      <c r="K92" s="18" t="s">
        <v>239</v>
      </c>
      <c r="L92" s="18" t="s">
        <v>28</v>
      </c>
      <c r="M92" s="34">
        <v>46520.0</v>
      </c>
      <c r="N92" s="35">
        <v>46653.0</v>
      </c>
      <c r="O92" s="19" t="s">
        <v>694</v>
      </c>
      <c r="P92" s="19" t="s">
        <v>695</v>
      </c>
      <c r="Q92" s="12" t="str">
        <f t="shared" si="1"/>
        <v>https://ec.europa.eu/info/funding-tenders/opportunities/portal/screen/opportunities/topic-details/HORIZON-CL2-2027-01-TRANSFO-08</v>
      </c>
    </row>
    <row r="93" ht="66.0" customHeight="1">
      <c r="A93" s="4" t="s">
        <v>17</v>
      </c>
      <c r="B93" s="4" t="s">
        <v>18</v>
      </c>
      <c r="C93" s="4" t="s">
        <v>19</v>
      </c>
      <c r="D93" s="5" t="s">
        <v>304</v>
      </c>
      <c r="E93" s="32" t="s">
        <v>696</v>
      </c>
      <c r="F93" s="5" t="s">
        <v>697</v>
      </c>
      <c r="G93" s="5" t="s">
        <v>698</v>
      </c>
      <c r="H93" s="19" t="s">
        <v>699</v>
      </c>
      <c r="I93" s="19" t="s">
        <v>700</v>
      </c>
      <c r="J93" s="19" t="s">
        <v>701</v>
      </c>
      <c r="K93" s="18" t="s">
        <v>27</v>
      </c>
      <c r="L93" s="18" t="s">
        <v>157</v>
      </c>
      <c r="M93" s="34">
        <v>46448.0</v>
      </c>
      <c r="N93" s="35" t="s">
        <v>441</v>
      </c>
      <c r="O93" s="19" t="s">
        <v>702</v>
      </c>
      <c r="P93" s="19" t="s">
        <v>703</v>
      </c>
      <c r="Q93" s="12" t="str">
        <f t="shared" si="1"/>
        <v>https://ec.europa.eu/info/funding-tenders/opportunities/portal/screen/opportunities/topic-details/HORIZON-CL2-2027-02-TRANSFO-09-two-stage</v>
      </c>
    </row>
    <row r="94" ht="66.0" customHeight="1">
      <c r="A94" s="4" t="s">
        <v>17</v>
      </c>
      <c r="B94" s="4" t="s">
        <v>18</v>
      </c>
      <c r="C94" s="4" t="s">
        <v>19</v>
      </c>
      <c r="D94" s="5" t="s">
        <v>704</v>
      </c>
      <c r="E94" s="32" t="s">
        <v>705</v>
      </c>
      <c r="F94" s="5" t="s">
        <v>706</v>
      </c>
      <c r="G94" s="5" t="s">
        <v>707</v>
      </c>
      <c r="H94" s="19" t="s">
        <v>708</v>
      </c>
      <c r="I94" s="19" t="s">
        <v>709</v>
      </c>
      <c r="J94" s="19" t="s">
        <v>710</v>
      </c>
      <c r="K94" s="18" t="s">
        <v>27</v>
      </c>
      <c r="L94" s="18" t="s">
        <v>28</v>
      </c>
      <c r="M94" s="34">
        <v>46148.0</v>
      </c>
      <c r="N94" s="35">
        <v>46331.0</v>
      </c>
      <c r="O94" s="19" t="s">
        <v>711</v>
      </c>
      <c r="P94" s="19" t="s">
        <v>712</v>
      </c>
      <c r="Q94" s="12" t="str">
        <f t="shared" si="1"/>
        <v>https://ec.europa.eu/info/funding-tenders/opportunities/portal/screen/opportunities/topic-details/HORIZON-CL3-2026-01-FCT-01</v>
      </c>
    </row>
    <row r="95" ht="66.0" customHeight="1">
      <c r="A95" s="4" t="s">
        <v>17</v>
      </c>
      <c r="B95" s="4" t="s">
        <v>18</v>
      </c>
      <c r="C95" s="4" t="s">
        <v>19</v>
      </c>
      <c r="D95" s="5" t="s">
        <v>704</v>
      </c>
      <c r="E95" s="32" t="s">
        <v>713</v>
      </c>
      <c r="F95" s="5" t="s">
        <v>714</v>
      </c>
      <c r="G95" s="5" t="s">
        <v>715</v>
      </c>
      <c r="H95" s="19"/>
      <c r="I95" s="19" t="s">
        <v>471</v>
      </c>
      <c r="J95" s="19" t="s">
        <v>716</v>
      </c>
      <c r="K95" s="18" t="s">
        <v>27</v>
      </c>
      <c r="L95" s="18" t="s">
        <v>28</v>
      </c>
      <c r="M95" s="34">
        <v>46148.0</v>
      </c>
      <c r="N95" s="35">
        <v>46331.0</v>
      </c>
      <c r="O95" s="19" t="s">
        <v>717</v>
      </c>
      <c r="P95" s="19" t="s">
        <v>718</v>
      </c>
      <c r="Q95" s="12" t="str">
        <f t="shared" si="1"/>
        <v>https://ec.europa.eu/info/funding-tenders/opportunities/portal/screen/opportunities/topic-details/HORIZON-CL3-2026-01-FCT-02</v>
      </c>
    </row>
    <row r="96" ht="66.0" customHeight="1">
      <c r="A96" s="4" t="s">
        <v>17</v>
      </c>
      <c r="B96" s="4" t="s">
        <v>18</v>
      </c>
      <c r="C96" s="4" t="s">
        <v>19</v>
      </c>
      <c r="D96" s="5" t="s">
        <v>704</v>
      </c>
      <c r="E96" s="32" t="s">
        <v>719</v>
      </c>
      <c r="F96" s="5" t="s">
        <v>720</v>
      </c>
      <c r="G96" s="5" t="s">
        <v>721</v>
      </c>
      <c r="H96" s="19"/>
      <c r="I96" s="19" t="s">
        <v>722</v>
      </c>
      <c r="J96" s="19" t="s">
        <v>723</v>
      </c>
      <c r="K96" s="18" t="s">
        <v>239</v>
      </c>
      <c r="L96" s="18" t="s">
        <v>28</v>
      </c>
      <c r="M96" s="34">
        <v>46148.0</v>
      </c>
      <c r="N96" s="35">
        <v>46331.0</v>
      </c>
      <c r="O96" s="19" t="s">
        <v>724</v>
      </c>
      <c r="P96" s="19" t="s">
        <v>725</v>
      </c>
      <c r="Q96" s="12" t="str">
        <f t="shared" si="1"/>
        <v>https://ec.europa.eu/info/funding-tenders/opportunities/portal/screen/opportunities/topic-details/HORIZON-CL3-2026-01-FCT-03</v>
      </c>
    </row>
    <row r="97" ht="66.0" customHeight="1">
      <c r="A97" s="4" t="s">
        <v>17</v>
      </c>
      <c r="B97" s="4" t="s">
        <v>18</v>
      </c>
      <c r="C97" s="4" t="s">
        <v>19</v>
      </c>
      <c r="D97" s="5" t="s">
        <v>704</v>
      </c>
      <c r="E97" s="32" t="s">
        <v>726</v>
      </c>
      <c r="F97" s="5" t="s">
        <v>727</v>
      </c>
      <c r="G97" s="5" t="s">
        <v>728</v>
      </c>
      <c r="H97" s="19" t="s">
        <v>729</v>
      </c>
      <c r="I97" s="19" t="s">
        <v>584</v>
      </c>
      <c r="J97" s="19" t="s">
        <v>730</v>
      </c>
      <c r="K97" s="18" t="s">
        <v>27</v>
      </c>
      <c r="L97" s="18" t="s">
        <v>28</v>
      </c>
      <c r="M97" s="34">
        <v>46148.0</v>
      </c>
      <c r="N97" s="35">
        <v>46331.0</v>
      </c>
      <c r="O97" s="19" t="s">
        <v>731</v>
      </c>
      <c r="P97" s="19" t="s">
        <v>732</v>
      </c>
      <c r="Q97" s="12" t="str">
        <f t="shared" si="1"/>
        <v>https://ec.europa.eu/info/funding-tenders/opportunities/portal/screen/opportunities/topic-details/HORIZON-CL3-2026-01-FCT-04</v>
      </c>
    </row>
    <row r="98" ht="66.0" customHeight="1">
      <c r="A98" s="4" t="s">
        <v>17</v>
      </c>
      <c r="B98" s="4" t="s">
        <v>18</v>
      </c>
      <c r="C98" s="4" t="s">
        <v>19</v>
      </c>
      <c r="D98" s="5" t="s">
        <v>704</v>
      </c>
      <c r="E98" s="32" t="s">
        <v>733</v>
      </c>
      <c r="F98" s="5" t="s">
        <v>734</v>
      </c>
      <c r="G98" s="5" t="s">
        <v>735</v>
      </c>
      <c r="H98" s="19" t="s">
        <v>736</v>
      </c>
      <c r="I98" s="19" t="s">
        <v>737</v>
      </c>
      <c r="J98" s="19" t="s">
        <v>738</v>
      </c>
      <c r="K98" s="18" t="s">
        <v>239</v>
      </c>
      <c r="L98" s="18" t="s">
        <v>28</v>
      </c>
      <c r="M98" s="34">
        <v>46148.0</v>
      </c>
      <c r="N98" s="35">
        <v>46331.0</v>
      </c>
      <c r="O98" s="19" t="s">
        <v>739</v>
      </c>
      <c r="P98" s="19" t="s">
        <v>740</v>
      </c>
      <c r="Q98" s="12" t="str">
        <f t="shared" si="1"/>
        <v>https://ec.europa.eu/info/funding-tenders/opportunities/portal/screen/opportunities/topic-details/HORIZON-CL3-2026-01-FCT-05</v>
      </c>
    </row>
    <row r="99" ht="66.0" customHeight="1">
      <c r="A99" s="4" t="s">
        <v>17</v>
      </c>
      <c r="B99" s="4" t="s">
        <v>18</v>
      </c>
      <c r="C99" s="4" t="s">
        <v>19</v>
      </c>
      <c r="D99" s="5" t="s">
        <v>704</v>
      </c>
      <c r="E99" s="32" t="s">
        <v>741</v>
      </c>
      <c r="F99" s="5" t="s">
        <v>742</v>
      </c>
      <c r="G99" s="5" t="s">
        <v>743</v>
      </c>
      <c r="H99" s="19"/>
      <c r="I99" s="19" t="s">
        <v>744</v>
      </c>
      <c r="J99" s="19" t="s">
        <v>745</v>
      </c>
      <c r="K99" s="18" t="s">
        <v>27</v>
      </c>
      <c r="L99" s="18" t="s">
        <v>28</v>
      </c>
      <c r="M99" s="34">
        <v>46148.0</v>
      </c>
      <c r="N99" s="35">
        <v>46331.0</v>
      </c>
      <c r="O99" s="19" t="s">
        <v>746</v>
      </c>
      <c r="P99" s="19" t="s">
        <v>747</v>
      </c>
      <c r="Q99" s="12" t="str">
        <f t="shared" si="1"/>
        <v>https://ec.europa.eu/info/funding-tenders/opportunities/portal/screen/opportunities/topic-details/HORIZON-CL3-2026-01-FCT-06</v>
      </c>
    </row>
    <row r="100" ht="66.0" customHeight="1">
      <c r="A100" s="4" t="s">
        <v>17</v>
      </c>
      <c r="B100" s="4" t="s">
        <v>18</v>
      </c>
      <c r="C100" s="4" t="s">
        <v>19</v>
      </c>
      <c r="D100" s="5" t="s">
        <v>704</v>
      </c>
      <c r="E100" s="32" t="s">
        <v>748</v>
      </c>
      <c r="F100" s="5" t="s">
        <v>749</v>
      </c>
      <c r="G100" s="5" t="s">
        <v>750</v>
      </c>
      <c r="H100" s="19"/>
      <c r="I100" s="19" t="s">
        <v>471</v>
      </c>
      <c r="J100" s="19" t="s">
        <v>751</v>
      </c>
      <c r="K100" s="18" t="s">
        <v>239</v>
      </c>
      <c r="L100" s="18" t="s">
        <v>28</v>
      </c>
      <c r="M100" s="34">
        <v>46512.0</v>
      </c>
      <c r="N100" s="35">
        <v>46695.0</v>
      </c>
      <c r="O100" s="19" t="s">
        <v>752</v>
      </c>
      <c r="P100" s="19" t="s">
        <v>753</v>
      </c>
      <c r="Q100" s="12" t="str">
        <f t="shared" si="1"/>
        <v>https://ec.europa.eu/info/funding-tenders/opportunities/portal/screen/opportunities/topic-details/HORIZON-CL3-2027-01-FCT-01</v>
      </c>
    </row>
    <row r="101" ht="66.0" customHeight="1">
      <c r="A101" s="4" t="s">
        <v>17</v>
      </c>
      <c r="B101" s="4" t="s">
        <v>18</v>
      </c>
      <c r="C101" s="4" t="s">
        <v>19</v>
      </c>
      <c r="D101" s="5" t="s">
        <v>704</v>
      </c>
      <c r="E101" s="32" t="s">
        <v>754</v>
      </c>
      <c r="F101" s="5" t="s">
        <v>755</v>
      </c>
      <c r="G101" s="5" t="s">
        <v>756</v>
      </c>
      <c r="H101" s="19" t="s">
        <v>757</v>
      </c>
      <c r="I101" s="19" t="s">
        <v>758</v>
      </c>
      <c r="J101" s="19" t="s">
        <v>759</v>
      </c>
      <c r="K101" s="18" t="s">
        <v>239</v>
      </c>
      <c r="L101" s="18" t="s">
        <v>28</v>
      </c>
      <c r="M101" s="34">
        <v>46512.0</v>
      </c>
      <c r="N101" s="35">
        <v>46695.0</v>
      </c>
      <c r="O101" s="19" t="s">
        <v>760</v>
      </c>
      <c r="P101" s="19" t="s">
        <v>761</v>
      </c>
      <c r="Q101" s="12" t="str">
        <f t="shared" si="1"/>
        <v>https://ec.europa.eu/info/funding-tenders/opportunities/portal/screen/opportunities/topic-details/HORIZON-CL3-2027-01-FCT-02</v>
      </c>
    </row>
    <row r="102" ht="66.0" customHeight="1">
      <c r="A102" s="4" t="s">
        <v>17</v>
      </c>
      <c r="B102" s="4" t="s">
        <v>18</v>
      </c>
      <c r="C102" s="4" t="s">
        <v>19</v>
      </c>
      <c r="D102" s="5" t="s">
        <v>704</v>
      </c>
      <c r="E102" s="32" t="s">
        <v>762</v>
      </c>
      <c r="F102" s="5" t="s">
        <v>763</v>
      </c>
      <c r="G102" s="5" t="s">
        <v>764</v>
      </c>
      <c r="H102" s="19" t="s">
        <v>765</v>
      </c>
      <c r="I102" s="19" t="s">
        <v>766</v>
      </c>
      <c r="J102" s="19" t="s">
        <v>767</v>
      </c>
      <c r="K102" s="18" t="s">
        <v>27</v>
      </c>
      <c r="L102" s="18" t="s">
        <v>28</v>
      </c>
      <c r="M102" s="34">
        <v>46512.0</v>
      </c>
      <c r="N102" s="35">
        <v>46695.0</v>
      </c>
      <c r="O102" s="19" t="s">
        <v>768</v>
      </c>
      <c r="P102" s="19" t="s">
        <v>769</v>
      </c>
      <c r="Q102" s="12" t="str">
        <f t="shared" si="1"/>
        <v>https://ec.europa.eu/info/funding-tenders/opportunities/portal/screen/opportunities/topic-details/HORIZON-CL3-2027-01-FCT-03</v>
      </c>
    </row>
    <row r="103" ht="66.0" customHeight="1">
      <c r="A103" s="4" t="s">
        <v>17</v>
      </c>
      <c r="B103" s="4" t="s">
        <v>18</v>
      </c>
      <c r="C103" s="4" t="s">
        <v>19</v>
      </c>
      <c r="D103" s="5" t="s">
        <v>704</v>
      </c>
      <c r="E103" s="32" t="s">
        <v>770</v>
      </c>
      <c r="F103" s="5" t="s">
        <v>771</v>
      </c>
      <c r="G103" s="5" t="s">
        <v>772</v>
      </c>
      <c r="H103" s="19"/>
      <c r="I103" s="19" t="s">
        <v>773</v>
      </c>
      <c r="J103" s="19" t="s">
        <v>774</v>
      </c>
      <c r="K103" s="18" t="s">
        <v>239</v>
      </c>
      <c r="L103" s="18" t="s">
        <v>28</v>
      </c>
      <c r="M103" s="34">
        <v>46512.0</v>
      </c>
      <c r="N103" s="35">
        <v>46695.0</v>
      </c>
      <c r="O103" s="19" t="s">
        <v>775</v>
      </c>
      <c r="P103" s="19" t="s">
        <v>776</v>
      </c>
      <c r="Q103" s="12" t="str">
        <f t="shared" si="1"/>
        <v>https://ec.europa.eu/info/funding-tenders/opportunities/portal/screen/opportunities/topic-details/HORIZON-CL3-2027-01-FCT-04</v>
      </c>
    </row>
    <row r="104" ht="66.0" customHeight="1">
      <c r="A104" s="4" t="s">
        <v>17</v>
      </c>
      <c r="B104" s="4" t="s">
        <v>18</v>
      </c>
      <c r="C104" s="4" t="s">
        <v>19</v>
      </c>
      <c r="D104" s="5" t="s">
        <v>704</v>
      </c>
      <c r="E104" s="32" t="s">
        <v>777</v>
      </c>
      <c r="F104" s="5" t="s">
        <v>778</v>
      </c>
      <c r="G104" s="5" t="s">
        <v>779</v>
      </c>
      <c r="H104" s="19" t="s">
        <v>780</v>
      </c>
      <c r="I104" s="19" t="s">
        <v>47</v>
      </c>
      <c r="J104" s="19" t="s">
        <v>781</v>
      </c>
      <c r="K104" s="18" t="s">
        <v>239</v>
      </c>
      <c r="L104" s="18" t="s">
        <v>28</v>
      </c>
      <c r="M104" s="34">
        <v>46512.0</v>
      </c>
      <c r="N104" s="35">
        <v>46695.0</v>
      </c>
      <c r="O104" s="19" t="s">
        <v>782</v>
      </c>
      <c r="P104" s="19" t="s">
        <v>783</v>
      </c>
      <c r="Q104" s="12" t="str">
        <f t="shared" si="1"/>
        <v>https://ec.europa.eu/info/funding-tenders/opportunities/portal/screen/opportunities/topic-details/HORIZON-CL3-2027-01-FCT-05</v>
      </c>
    </row>
    <row r="105" ht="66.0" customHeight="1">
      <c r="A105" s="4" t="s">
        <v>17</v>
      </c>
      <c r="B105" s="4" t="s">
        <v>18</v>
      </c>
      <c r="C105" s="4" t="s">
        <v>19</v>
      </c>
      <c r="D105" s="5" t="s">
        <v>704</v>
      </c>
      <c r="E105" s="32" t="s">
        <v>784</v>
      </c>
      <c r="F105" s="5" t="s">
        <v>785</v>
      </c>
      <c r="G105" s="5" t="s">
        <v>786</v>
      </c>
      <c r="H105" s="19"/>
      <c r="I105" s="19" t="s">
        <v>787</v>
      </c>
      <c r="J105" s="19" t="s">
        <v>788</v>
      </c>
      <c r="K105" s="18" t="s">
        <v>239</v>
      </c>
      <c r="L105" s="18" t="s">
        <v>28</v>
      </c>
      <c r="M105" s="34">
        <v>46148.0</v>
      </c>
      <c r="N105" s="35">
        <v>46331.0</v>
      </c>
      <c r="O105" s="19" t="s">
        <v>789</v>
      </c>
      <c r="P105" s="19" t="s">
        <v>790</v>
      </c>
      <c r="Q105" s="12" t="str">
        <f t="shared" si="1"/>
        <v>https://ec.europa.eu/info/funding-tenders/opportunities/portal/screen/opportunities/topic-details/HORIZON-CL3-2026-01-BM-01</v>
      </c>
    </row>
    <row r="106" ht="66.0" customHeight="1">
      <c r="A106" s="4" t="s">
        <v>17</v>
      </c>
      <c r="B106" s="4" t="s">
        <v>18</v>
      </c>
      <c r="C106" s="4" t="s">
        <v>19</v>
      </c>
      <c r="D106" s="5" t="s">
        <v>704</v>
      </c>
      <c r="E106" s="32" t="s">
        <v>791</v>
      </c>
      <c r="F106" s="5" t="s">
        <v>792</v>
      </c>
      <c r="G106" s="5" t="s">
        <v>793</v>
      </c>
      <c r="H106" s="19"/>
      <c r="I106" s="19" t="s">
        <v>471</v>
      </c>
      <c r="J106" s="19" t="s">
        <v>794</v>
      </c>
      <c r="K106" s="18" t="s">
        <v>239</v>
      </c>
      <c r="L106" s="18" t="s">
        <v>28</v>
      </c>
      <c r="M106" s="34">
        <v>46148.0</v>
      </c>
      <c r="N106" s="35">
        <v>46331.0</v>
      </c>
      <c r="O106" s="19" t="s">
        <v>795</v>
      </c>
      <c r="P106" s="19" t="s">
        <v>796</v>
      </c>
      <c r="Q106" s="12" t="str">
        <f t="shared" si="1"/>
        <v>https://ec.europa.eu/info/funding-tenders/opportunities/portal/screen/opportunities/topic-details/HORIZON-CL3-2026-01-BM-02</v>
      </c>
    </row>
    <row r="107" ht="66.0" customHeight="1">
      <c r="A107" s="4" t="s">
        <v>17</v>
      </c>
      <c r="B107" s="4" t="s">
        <v>18</v>
      </c>
      <c r="C107" s="4" t="s">
        <v>19</v>
      </c>
      <c r="D107" s="5" t="s">
        <v>704</v>
      </c>
      <c r="E107" s="32" t="s">
        <v>797</v>
      </c>
      <c r="F107" s="5" t="s">
        <v>798</v>
      </c>
      <c r="G107" s="5" t="s">
        <v>799</v>
      </c>
      <c r="H107" s="19"/>
      <c r="I107" s="19" t="s">
        <v>293</v>
      </c>
      <c r="J107" s="19" t="s">
        <v>800</v>
      </c>
      <c r="K107" s="18" t="s">
        <v>39</v>
      </c>
      <c r="L107" s="18" t="s">
        <v>28</v>
      </c>
      <c r="M107" s="34">
        <v>46148.0</v>
      </c>
      <c r="N107" s="35">
        <v>46331.0</v>
      </c>
      <c r="O107" s="19" t="s">
        <v>801</v>
      </c>
      <c r="P107" s="19" t="s">
        <v>802</v>
      </c>
      <c r="Q107" s="12" t="str">
        <f t="shared" si="1"/>
        <v>https://ec.europa.eu/info/funding-tenders/opportunities/portal/screen/opportunities/topic-details/HORIZON-CL3-2026-01-BM-03</v>
      </c>
    </row>
    <row r="108" ht="66.0" customHeight="1">
      <c r="A108" s="4" t="s">
        <v>17</v>
      </c>
      <c r="B108" s="4" t="s">
        <v>18</v>
      </c>
      <c r="C108" s="4" t="s">
        <v>19</v>
      </c>
      <c r="D108" s="5" t="s">
        <v>704</v>
      </c>
      <c r="E108" s="32" t="s">
        <v>803</v>
      </c>
      <c r="F108" s="5" t="s">
        <v>804</v>
      </c>
      <c r="G108" s="5" t="s">
        <v>805</v>
      </c>
      <c r="H108" s="19"/>
      <c r="I108" s="19" t="s">
        <v>479</v>
      </c>
      <c r="J108" s="19" t="s">
        <v>806</v>
      </c>
      <c r="K108" s="18" t="s">
        <v>27</v>
      </c>
      <c r="L108" s="18" t="s">
        <v>28</v>
      </c>
      <c r="M108" s="34">
        <v>46512.0</v>
      </c>
      <c r="N108" s="35">
        <v>46695.0</v>
      </c>
      <c r="O108" s="19" t="s">
        <v>807</v>
      </c>
      <c r="P108" s="19" t="s">
        <v>808</v>
      </c>
      <c r="Q108" s="12" t="str">
        <f t="shared" si="1"/>
        <v>https://ec.europa.eu/info/funding-tenders/opportunities/portal/screen/opportunities/topic-details/HORIZON-CL3-2027-01-BM-01</v>
      </c>
    </row>
    <row r="109" ht="66.0" customHeight="1">
      <c r="A109" s="4" t="s">
        <v>17</v>
      </c>
      <c r="B109" s="4" t="s">
        <v>18</v>
      </c>
      <c r="C109" s="4" t="s">
        <v>19</v>
      </c>
      <c r="D109" s="5" t="s">
        <v>704</v>
      </c>
      <c r="E109" s="32" t="s">
        <v>809</v>
      </c>
      <c r="F109" s="5" t="s">
        <v>810</v>
      </c>
      <c r="G109" s="5" t="s">
        <v>811</v>
      </c>
      <c r="H109" s="19"/>
      <c r="I109" s="19" t="s">
        <v>812</v>
      </c>
      <c r="J109" s="19" t="s">
        <v>813</v>
      </c>
      <c r="K109" s="18" t="s">
        <v>27</v>
      </c>
      <c r="L109" s="18" t="s">
        <v>28</v>
      </c>
      <c r="M109" s="34">
        <v>46512.0</v>
      </c>
      <c r="N109" s="35">
        <v>46695.0</v>
      </c>
      <c r="O109" s="19" t="s">
        <v>814</v>
      </c>
      <c r="P109" s="19" t="s">
        <v>815</v>
      </c>
      <c r="Q109" s="12" t="str">
        <f t="shared" si="1"/>
        <v>https://ec.europa.eu/info/funding-tenders/opportunities/portal/screen/opportunities/topic-details/HORIZON-CL3-2027-01-BM-02</v>
      </c>
    </row>
    <row r="110" ht="66.0" customHeight="1">
      <c r="A110" s="4" t="s">
        <v>17</v>
      </c>
      <c r="B110" s="4" t="s">
        <v>18</v>
      </c>
      <c r="C110" s="4" t="s">
        <v>19</v>
      </c>
      <c r="D110" s="5" t="s">
        <v>704</v>
      </c>
      <c r="E110" s="32" t="s">
        <v>816</v>
      </c>
      <c r="F110" s="5" t="s">
        <v>817</v>
      </c>
      <c r="G110" s="5" t="s">
        <v>818</v>
      </c>
      <c r="H110" s="19"/>
      <c r="I110" s="19" t="s">
        <v>819</v>
      </c>
      <c r="J110" s="19" t="s">
        <v>820</v>
      </c>
      <c r="K110" s="18" t="s">
        <v>27</v>
      </c>
      <c r="L110" s="18" t="s">
        <v>28</v>
      </c>
      <c r="M110" s="34">
        <v>46512.0</v>
      </c>
      <c r="N110" s="35">
        <v>46695.0</v>
      </c>
      <c r="O110" s="19" t="s">
        <v>821</v>
      </c>
      <c r="P110" s="19" t="s">
        <v>822</v>
      </c>
      <c r="Q110" s="12" t="str">
        <f t="shared" si="1"/>
        <v>https://ec.europa.eu/info/funding-tenders/opportunities/portal/screen/opportunities/topic-details/HORIZON-CL3-2027-01-BM-03</v>
      </c>
    </row>
    <row r="111" ht="66.0" customHeight="1">
      <c r="A111" s="4" t="s">
        <v>17</v>
      </c>
      <c r="B111" s="4" t="s">
        <v>18</v>
      </c>
      <c r="C111" s="4" t="s">
        <v>19</v>
      </c>
      <c r="D111" s="5" t="s">
        <v>704</v>
      </c>
      <c r="E111" s="32" t="s">
        <v>823</v>
      </c>
      <c r="F111" s="5" t="s">
        <v>824</v>
      </c>
      <c r="G111" s="5" t="s">
        <v>825</v>
      </c>
      <c r="H111" s="19"/>
      <c r="I111" s="19" t="s">
        <v>826</v>
      </c>
      <c r="J111" s="19" t="s">
        <v>827</v>
      </c>
      <c r="K111" s="18" t="s">
        <v>239</v>
      </c>
      <c r="L111" s="18" t="s">
        <v>28</v>
      </c>
      <c r="M111" s="34">
        <v>46148.0</v>
      </c>
      <c r="N111" s="35">
        <v>46331.0</v>
      </c>
      <c r="O111" s="19" t="s">
        <v>828</v>
      </c>
      <c r="P111" s="19" t="s">
        <v>829</v>
      </c>
      <c r="Q111" s="12" t="str">
        <f t="shared" si="1"/>
        <v>https://ec.europa.eu/info/funding-tenders/opportunities/portal/screen/opportunities/topic-details/HORIZON-CL3-2026-01-INFRA-01</v>
      </c>
    </row>
    <row r="112" ht="66.0" customHeight="1">
      <c r="A112" s="4" t="s">
        <v>17</v>
      </c>
      <c r="B112" s="4" t="s">
        <v>18</v>
      </c>
      <c r="C112" s="4" t="s">
        <v>19</v>
      </c>
      <c r="D112" s="5" t="s">
        <v>704</v>
      </c>
      <c r="E112" s="32" t="s">
        <v>830</v>
      </c>
      <c r="F112" s="5" t="s">
        <v>831</v>
      </c>
      <c r="G112" s="5" t="s">
        <v>832</v>
      </c>
      <c r="H112" s="19"/>
      <c r="I112" s="19" t="s">
        <v>833</v>
      </c>
      <c r="J112" s="19" t="s">
        <v>834</v>
      </c>
      <c r="K112" s="18" t="s">
        <v>27</v>
      </c>
      <c r="L112" s="18" t="s">
        <v>28</v>
      </c>
      <c r="M112" s="34">
        <v>46148.0</v>
      </c>
      <c r="N112" s="35">
        <v>46331.0</v>
      </c>
      <c r="O112" s="19" t="s">
        <v>835</v>
      </c>
      <c r="P112" s="19" t="s">
        <v>836</v>
      </c>
      <c r="Q112" s="12" t="str">
        <f t="shared" si="1"/>
        <v>https://ec.europa.eu/info/funding-tenders/opportunities/portal/screen/opportunities/topic-details/HORIZON-CL3-2026-01-INFRA-02</v>
      </c>
    </row>
    <row r="113" ht="66.0" customHeight="1">
      <c r="A113" s="4" t="s">
        <v>17</v>
      </c>
      <c r="B113" s="4" t="s">
        <v>18</v>
      </c>
      <c r="C113" s="4" t="s">
        <v>19</v>
      </c>
      <c r="D113" s="5" t="s">
        <v>704</v>
      </c>
      <c r="E113" s="32" t="s">
        <v>837</v>
      </c>
      <c r="F113" s="5" t="s">
        <v>838</v>
      </c>
      <c r="G113" s="5" t="s">
        <v>839</v>
      </c>
      <c r="H113" s="19"/>
      <c r="I113" s="19" t="s">
        <v>840</v>
      </c>
      <c r="J113" s="19" t="s">
        <v>841</v>
      </c>
      <c r="K113" s="18" t="s">
        <v>239</v>
      </c>
      <c r="L113" s="18" t="s">
        <v>28</v>
      </c>
      <c r="M113" s="34">
        <v>46148.0</v>
      </c>
      <c r="N113" s="35">
        <v>46331.0</v>
      </c>
      <c r="O113" s="19" t="s">
        <v>842</v>
      </c>
      <c r="P113" s="19" t="s">
        <v>843</v>
      </c>
      <c r="Q113" s="12" t="str">
        <f t="shared" si="1"/>
        <v>https://ec.europa.eu/info/funding-tenders/opportunities/portal/screen/opportunities/topic-details/HORIZON-CL3-2026-01-INFRA-03</v>
      </c>
    </row>
    <row r="114" ht="66.0" customHeight="1">
      <c r="A114" s="4" t="s">
        <v>17</v>
      </c>
      <c r="B114" s="4" t="s">
        <v>18</v>
      </c>
      <c r="C114" s="4" t="s">
        <v>19</v>
      </c>
      <c r="D114" s="5" t="s">
        <v>704</v>
      </c>
      <c r="E114" s="32" t="s">
        <v>844</v>
      </c>
      <c r="F114" s="5" t="s">
        <v>845</v>
      </c>
      <c r="G114" s="5" t="s">
        <v>846</v>
      </c>
      <c r="H114" s="19"/>
      <c r="I114" s="19" t="s">
        <v>847</v>
      </c>
      <c r="J114" s="19" t="s">
        <v>848</v>
      </c>
      <c r="K114" s="18" t="s">
        <v>239</v>
      </c>
      <c r="L114" s="18" t="s">
        <v>28</v>
      </c>
      <c r="M114" s="34">
        <v>46512.0</v>
      </c>
      <c r="N114" s="35">
        <v>46695.0</v>
      </c>
      <c r="O114" s="19" t="s">
        <v>849</v>
      </c>
      <c r="P114" s="19" t="s">
        <v>850</v>
      </c>
      <c r="Q114" s="12" t="str">
        <f t="shared" si="1"/>
        <v>https://ec.europa.eu/info/funding-tenders/opportunities/portal/screen/opportunities/topic-details/HORIZON-CL3-2027-01-INFRA-01</v>
      </c>
    </row>
    <row r="115" ht="66.0" customHeight="1">
      <c r="A115" s="4" t="s">
        <v>17</v>
      </c>
      <c r="B115" s="4" t="s">
        <v>18</v>
      </c>
      <c r="C115" s="4" t="s">
        <v>19</v>
      </c>
      <c r="D115" s="5" t="s">
        <v>704</v>
      </c>
      <c r="E115" s="32" t="s">
        <v>851</v>
      </c>
      <c r="F115" s="5" t="s">
        <v>852</v>
      </c>
      <c r="G115" s="5" t="s">
        <v>853</v>
      </c>
      <c r="H115" s="19"/>
      <c r="I115" s="19" t="s">
        <v>773</v>
      </c>
      <c r="J115" s="19" t="s">
        <v>854</v>
      </c>
      <c r="K115" s="18" t="s">
        <v>239</v>
      </c>
      <c r="L115" s="18" t="s">
        <v>28</v>
      </c>
      <c r="M115" s="34">
        <v>46512.0</v>
      </c>
      <c r="N115" s="35">
        <v>46695.0</v>
      </c>
      <c r="O115" s="19" t="s">
        <v>855</v>
      </c>
      <c r="P115" s="19" t="s">
        <v>856</v>
      </c>
      <c r="Q115" s="12" t="str">
        <f t="shared" si="1"/>
        <v>https://ec.europa.eu/info/funding-tenders/opportunities/portal/screen/opportunities/topic-details/HORIZON-CL3-2027-01-INFRA-02</v>
      </c>
    </row>
    <row r="116" ht="66.0" customHeight="1">
      <c r="A116" s="4" t="s">
        <v>17</v>
      </c>
      <c r="B116" s="4" t="s">
        <v>18</v>
      </c>
      <c r="C116" s="4" t="s">
        <v>19</v>
      </c>
      <c r="D116" s="5" t="s">
        <v>704</v>
      </c>
      <c r="E116" s="32" t="s">
        <v>857</v>
      </c>
      <c r="F116" s="5" t="s">
        <v>858</v>
      </c>
      <c r="G116" s="5" t="s">
        <v>859</v>
      </c>
      <c r="H116" s="19" t="s">
        <v>860</v>
      </c>
      <c r="I116" s="19" t="s">
        <v>584</v>
      </c>
      <c r="J116" s="19" t="s">
        <v>861</v>
      </c>
      <c r="K116" s="18" t="s">
        <v>27</v>
      </c>
      <c r="L116" s="18" t="s">
        <v>28</v>
      </c>
      <c r="M116" s="34">
        <v>46148.0</v>
      </c>
      <c r="N116" s="35">
        <v>46331.0</v>
      </c>
      <c r="O116" s="19" t="s">
        <v>862</v>
      </c>
      <c r="P116" s="19" t="s">
        <v>863</v>
      </c>
      <c r="Q116" s="12" t="str">
        <f t="shared" si="1"/>
        <v>https://ec.europa.eu/info/funding-tenders/opportunities/portal/screen/opportunities/topic-details/HORIZON-CL3-2026-01-DRS-01</v>
      </c>
    </row>
    <row r="117" ht="66.0" customHeight="1">
      <c r="A117" s="4" t="s">
        <v>17</v>
      </c>
      <c r="B117" s="4" t="s">
        <v>18</v>
      </c>
      <c r="C117" s="4" t="s">
        <v>19</v>
      </c>
      <c r="D117" s="5" t="s">
        <v>704</v>
      </c>
      <c r="E117" s="32" t="s">
        <v>864</v>
      </c>
      <c r="F117" s="5" t="s">
        <v>865</v>
      </c>
      <c r="G117" s="5" t="s">
        <v>866</v>
      </c>
      <c r="H117" s="19" t="s">
        <v>867</v>
      </c>
      <c r="I117" s="19" t="s">
        <v>868</v>
      </c>
      <c r="J117" s="19" t="s">
        <v>869</v>
      </c>
      <c r="K117" s="18" t="s">
        <v>239</v>
      </c>
      <c r="L117" s="18" t="s">
        <v>28</v>
      </c>
      <c r="M117" s="34">
        <v>46148.0</v>
      </c>
      <c r="N117" s="35">
        <v>46331.0</v>
      </c>
      <c r="O117" s="19" t="s">
        <v>870</v>
      </c>
      <c r="P117" s="19" t="s">
        <v>871</v>
      </c>
      <c r="Q117" s="12" t="str">
        <f t="shared" si="1"/>
        <v>https://ec.europa.eu/info/funding-tenders/opportunities/portal/screen/opportunities/topic-details/HORIZON-CL3-2026-01-DRS-02</v>
      </c>
    </row>
    <row r="118" ht="66.0" customHeight="1">
      <c r="A118" s="4" t="s">
        <v>17</v>
      </c>
      <c r="B118" s="4" t="s">
        <v>18</v>
      </c>
      <c r="C118" s="4" t="s">
        <v>19</v>
      </c>
      <c r="D118" s="5" t="s">
        <v>704</v>
      </c>
      <c r="E118" s="32" t="s">
        <v>872</v>
      </c>
      <c r="F118" s="5" t="s">
        <v>873</v>
      </c>
      <c r="G118" s="5" t="s">
        <v>874</v>
      </c>
      <c r="H118" s="19"/>
      <c r="I118" s="19" t="s">
        <v>847</v>
      </c>
      <c r="J118" s="19" t="s">
        <v>875</v>
      </c>
      <c r="K118" s="18" t="s">
        <v>239</v>
      </c>
      <c r="L118" s="18" t="s">
        <v>28</v>
      </c>
      <c r="M118" s="34">
        <v>46148.0</v>
      </c>
      <c r="N118" s="35">
        <v>46331.0</v>
      </c>
      <c r="O118" s="19" t="s">
        <v>876</v>
      </c>
      <c r="P118" s="19" t="s">
        <v>877</v>
      </c>
      <c r="Q118" s="12" t="str">
        <f t="shared" si="1"/>
        <v>https://ec.europa.eu/info/funding-tenders/opportunities/portal/screen/opportunities/topic-details/HORIZON-CL3-2026-01-DRS-03</v>
      </c>
    </row>
    <row r="119" ht="66.0" customHeight="1">
      <c r="A119" s="4" t="s">
        <v>17</v>
      </c>
      <c r="B119" s="4" t="s">
        <v>18</v>
      </c>
      <c r="C119" s="4" t="s">
        <v>19</v>
      </c>
      <c r="D119" s="5" t="s">
        <v>704</v>
      </c>
      <c r="E119" s="32" t="s">
        <v>878</v>
      </c>
      <c r="F119" s="5" t="s">
        <v>879</v>
      </c>
      <c r="G119" s="5" t="s">
        <v>880</v>
      </c>
      <c r="H119" s="19"/>
      <c r="I119" s="19" t="s">
        <v>881</v>
      </c>
      <c r="J119" s="19" t="s">
        <v>882</v>
      </c>
      <c r="K119" s="18" t="s">
        <v>239</v>
      </c>
      <c r="L119" s="18" t="s">
        <v>28</v>
      </c>
      <c r="M119" s="34">
        <v>46148.0</v>
      </c>
      <c r="N119" s="35">
        <v>46331.0</v>
      </c>
      <c r="O119" s="19" t="s">
        <v>883</v>
      </c>
      <c r="P119" s="19" t="s">
        <v>884</v>
      </c>
      <c r="Q119" s="12" t="str">
        <f t="shared" si="1"/>
        <v>https://ec.europa.eu/info/funding-tenders/opportunities/portal/screen/opportunities/topic-details/HORIZON-CL3-2026-01-DRS-04</v>
      </c>
    </row>
    <row r="120" ht="66.0" customHeight="1">
      <c r="A120" s="4" t="s">
        <v>17</v>
      </c>
      <c r="B120" s="4" t="s">
        <v>18</v>
      </c>
      <c r="C120" s="4" t="s">
        <v>19</v>
      </c>
      <c r="D120" s="5" t="s">
        <v>704</v>
      </c>
      <c r="E120" s="32" t="s">
        <v>885</v>
      </c>
      <c r="F120" s="5" t="s">
        <v>886</v>
      </c>
      <c r="G120" s="5" t="s">
        <v>887</v>
      </c>
      <c r="H120" s="19"/>
      <c r="I120" s="19" t="s">
        <v>888</v>
      </c>
      <c r="J120" s="19" t="s">
        <v>889</v>
      </c>
      <c r="K120" s="18" t="s">
        <v>239</v>
      </c>
      <c r="L120" s="18" t="s">
        <v>28</v>
      </c>
      <c r="M120" s="34">
        <v>46148.0</v>
      </c>
      <c r="N120" s="35">
        <v>46331.0</v>
      </c>
      <c r="O120" s="19" t="s">
        <v>890</v>
      </c>
      <c r="P120" s="19" t="s">
        <v>891</v>
      </c>
      <c r="Q120" s="12" t="str">
        <f t="shared" si="1"/>
        <v>https://ec.europa.eu/info/funding-tenders/opportunities/portal/screen/opportunities/topic-details/HORIZON-CL3-2026-01-DRS-05</v>
      </c>
    </row>
    <row r="121" ht="66.0" customHeight="1">
      <c r="A121" s="4" t="s">
        <v>17</v>
      </c>
      <c r="B121" s="4" t="s">
        <v>18</v>
      </c>
      <c r="C121" s="4" t="s">
        <v>19</v>
      </c>
      <c r="D121" s="5" t="s">
        <v>704</v>
      </c>
      <c r="E121" s="32" t="s">
        <v>892</v>
      </c>
      <c r="F121" s="5" t="s">
        <v>893</v>
      </c>
      <c r="G121" s="5" t="s">
        <v>894</v>
      </c>
      <c r="H121" s="19"/>
      <c r="I121" s="19" t="s">
        <v>895</v>
      </c>
      <c r="J121" s="19" t="s">
        <v>896</v>
      </c>
      <c r="K121" s="18" t="s">
        <v>239</v>
      </c>
      <c r="L121" s="18" t="s">
        <v>28</v>
      </c>
      <c r="M121" s="34">
        <v>46512.0</v>
      </c>
      <c r="N121" s="35">
        <v>46695.0</v>
      </c>
      <c r="O121" s="19" t="s">
        <v>897</v>
      </c>
      <c r="P121" s="19" t="s">
        <v>898</v>
      </c>
      <c r="Q121" s="12" t="str">
        <f t="shared" si="1"/>
        <v>https://ec.europa.eu/info/funding-tenders/opportunities/portal/screen/opportunities/topic-details/HORIZON-CL3-2027-01-DRS-01</v>
      </c>
    </row>
    <row r="122" ht="66.0" customHeight="1">
      <c r="A122" s="4" t="s">
        <v>17</v>
      </c>
      <c r="B122" s="4" t="s">
        <v>18</v>
      </c>
      <c r="C122" s="4" t="s">
        <v>19</v>
      </c>
      <c r="D122" s="5" t="s">
        <v>704</v>
      </c>
      <c r="E122" s="32" t="s">
        <v>899</v>
      </c>
      <c r="F122" s="5" t="s">
        <v>900</v>
      </c>
      <c r="G122" s="5" t="s">
        <v>901</v>
      </c>
      <c r="H122" s="19" t="s">
        <v>902</v>
      </c>
      <c r="I122" s="19" t="s">
        <v>584</v>
      </c>
      <c r="J122" s="19" t="s">
        <v>903</v>
      </c>
      <c r="K122" s="18" t="s">
        <v>27</v>
      </c>
      <c r="L122" s="18" t="s">
        <v>28</v>
      </c>
      <c r="M122" s="34">
        <v>46512.0</v>
      </c>
      <c r="N122" s="35">
        <v>46695.0</v>
      </c>
      <c r="O122" s="19" t="s">
        <v>904</v>
      </c>
      <c r="P122" s="19" t="s">
        <v>905</v>
      </c>
      <c r="Q122" s="12" t="str">
        <f t="shared" si="1"/>
        <v>https://ec.europa.eu/info/funding-tenders/opportunities/portal/screen/opportunities/topic-details/HORIZON-CL3-2027-01-DRS-02</v>
      </c>
    </row>
    <row r="123" ht="66.0" customHeight="1">
      <c r="A123" s="4" t="s">
        <v>17</v>
      </c>
      <c r="B123" s="4" t="s">
        <v>18</v>
      </c>
      <c r="C123" s="4" t="s">
        <v>19</v>
      </c>
      <c r="D123" s="5" t="s">
        <v>704</v>
      </c>
      <c r="E123" s="32" t="s">
        <v>906</v>
      </c>
      <c r="F123" s="5" t="s">
        <v>907</v>
      </c>
      <c r="G123" s="5" t="s">
        <v>908</v>
      </c>
      <c r="H123" s="19"/>
      <c r="I123" s="19" t="s">
        <v>812</v>
      </c>
      <c r="J123" s="19" t="s">
        <v>909</v>
      </c>
      <c r="K123" s="18" t="s">
        <v>239</v>
      </c>
      <c r="L123" s="18" t="s">
        <v>28</v>
      </c>
      <c r="M123" s="34">
        <v>46512.0</v>
      </c>
      <c r="N123" s="35">
        <v>46695.0</v>
      </c>
      <c r="O123" s="19" t="s">
        <v>910</v>
      </c>
      <c r="P123" s="19" t="s">
        <v>911</v>
      </c>
      <c r="Q123" s="12" t="str">
        <f t="shared" si="1"/>
        <v>https://ec.europa.eu/info/funding-tenders/opportunities/portal/screen/opportunities/topic-details/HORIZON-CL3-2027-01-DRS-03</v>
      </c>
    </row>
    <row r="124" ht="66.0" customHeight="1">
      <c r="A124" s="4" t="s">
        <v>17</v>
      </c>
      <c r="B124" s="4" t="s">
        <v>18</v>
      </c>
      <c r="C124" s="4" t="s">
        <v>19</v>
      </c>
      <c r="D124" s="5" t="s">
        <v>704</v>
      </c>
      <c r="E124" s="32" t="s">
        <v>912</v>
      </c>
      <c r="F124" s="5" t="s">
        <v>913</v>
      </c>
      <c r="G124" s="5" t="s">
        <v>914</v>
      </c>
      <c r="H124" s="19"/>
      <c r="I124" s="19" t="s">
        <v>471</v>
      </c>
      <c r="J124" s="19" t="s">
        <v>915</v>
      </c>
      <c r="K124" s="18" t="s">
        <v>239</v>
      </c>
      <c r="L124" s="18" t="s">
        <v>28</v>
      </c>
      <c r="M124" s="34">
        <v>46512.0</v>
      </c>
      <c r="N124" s="35">
        <v>46695.0</v>
      </c>
      <c r="O124" s="19" t="s">
        <v>916</v>
      </c>
      <c r="P124" s="19" t="s">
        <v>917</v>
      </c>
      <c r="Q124" s="12" t="str">
        <f t="shared" si="1"/>
        <v>https://ec.europa.eu/info/funding-tenders/opportunities/portal/screen/opportunities/topic-details/HORIZON-CL3-2027-01-DRS-04</v>
      </c>
    </row>
    <row r="125" ht="66.0" customHeight="1">
      <c r="A125" s="4" t="s">
        <v>17</v>
      </c>
      <c r="B125" s="4" t="s">
        <v>18</v>
      </c>
      <c r="C125" s="4" t="s">
        <v>19</v>
      </c>
      <c r="D125" s="5" t="s">
        <v>704</v>
      </c>
      <c r="E125" s="32" t="s">
        <v>918</v>
      </c>
      <c r="F125" s="5" t="s">
        <v>919</v>
      </c>
      <c r="G125" s="5" t="s">
        <v>920</v>
      </c>
      <c r="H125" s="19"/>
      <c r="I125" s="19" t="s">
        <v>471</v>
      </c>
      <c r="J125" s="19" t="s">
        <v>921</v>
      </c>
      <c r="K125" s="18" t="s">
        <v>27</v>
      </c>
      <c r="L125" s="18" t="s">
        <v>28</v>
      </c>
      <c r="M125" s="34">
        <v>46148.0</v>
      </c>
      <c r="N125" s="35">
        <v>46331.0</v>
      </c>
      <c r="O125" s="19" t="s">
        <v>922</v>
      </c>
      <c r="P125" s="19" t="s">
        <v>923</v>
      </c>
      <c r="Q125" s="12" t="str">
        <f t="shared" si="1"/>
        <v>https://ec.europa.eu/info/funding-tenders/opportunities/portal/screen/opportunities/topic-details/HORIZON-CL3-2026-01-SSRI-01</v>
      </c>
    </row>
    <row r="126" ht="66.0" customHeight="1">
      <c r="A126" s="4" t="s">
        <v>17</v>
      </c>
      <c r="B126" s="4" t="s">
        <v>18</v>
      </c>
      <c r="C126" s="4" t="s">
        <v>19</v>
      </c>
      <c r="D126" s="5" t="s">
        <v>704</v>
      </c>
      <c r="E126" s="32" t="s">
        <v>924</v>
      </c>
      <c r="F126" s="5" t="s">
        <v>925</v>
      </c>
      <c r="G126" s="5" t="s">
        <v>926</v>
      </c>
      <c r="H126" s="19"/>
      <c r="I126" s="19" t="s">
        <v>927</v>
      </c>
      <c r="J126" s="19" t="s">
        <v>928</v>
      </c>
      <c r="K126" s="18" t="s">
        <v>90</v>
      </c>
      <c r="L126" s="18" t="s">
        <v>28</v>
      </c>
      <c r="M126" s="34">
        <v>46148.0</v>
      </c>
      <c r="N126" s="35">
        <v>46331.0</v>
      </c>
      <c r="O126" s="19" t="s">
        <v>929</v>
      </c>
      <c r="P126" s="19" t="s">
        <v>930</v>
      </c>
      <c r="Q126" s="12" t="str">
        <f t="shared" si="1"/>
        <v>https://ec.europa.eu/info/funding-tenders/opportunities/portal/screen/opportunities/topic-details/HORIZON-CL3-2026-01-SSRI-02</v>
      </c>
    </row>
    <row r="127" ht="66.0" customHeight="1">
      <c r="A127" s="4" t="s">
        <v>17</v>
      </c>
      <c r="B127" s="4" t="s">
        <v>18</v>
      </c>
      <c r="C127" s="4" t="s">
        <v>19</v>
      </c>
      <c r="D127" s="5" t="s">
        <v>704</v>
      </c>
      <c r="E127" s="32" t="s">
        <v>931</v>
      </c>
      <c r="F127" s="5" t="s">
        <v>932</v>
      </c>
      <c r="G127" s="5" t="s">
        <v>933</v>
      </c>
      <c r="H127" s="19"/>
      <c r="I127" s="19" t="s">
        <v>934</v>
      </c>
      <c r="J127" s="19" t="s">
        <v>935</v>
      </c>
      <c r="K127" s="18" t="s">
        <v>204</v>
      </c>
      <c r="L127" s="18" t="s">
        <v>28</v>
      </c>
      <c r="M127" s="34">
        <v>46148.0</v>
      </c>
      <c r="N127" s="35">
        <v>46331.0</v>
      </c>
      <c r="O127" s="19" t="s">
        <v>936</v>
      </c>
      <c r="P127" s="19" t="s">
        <v>937</v>
      </c>
      <c r="Q127" s="12" t="str">
        <f t="shared" si="1"/>
        <v>https://ec.europa.eu/info/funding-tenders/opportunities/portal/screen/opportunities/topic-details/HORIZON-CL3-2026-01-SSRI-03</v>
      </c>
    </row>
    <row r="128" ht="66.0" customHeight="1">
      <c r="A128" s="4" t="s">
        <v>17</v>
      </c>
      <c r="B128" s="4" t="s">
        <v>18</v>
      </c>
      <c r="C128" s="4" t="s">
        <v>19</v>
      </c>
      <c r="D128" s="5" t="s">
        <v>704</v>
      </c>
      <c r="E128" s="32" t="s">
        <v>938</v>
      </c>
      <c r="F128" s="5" t="s">
        <v>939</v>
      </c>
      <c r="G128" s="5" t="s">
        <v>940</v>
      </c>
      <c r="H128" s="19"/>
      <c r="I128" s="19" t="s">
        <v>941</v>
      </c>
      <c r="J128" s="19" t="s">
        <v>942</v>
      </c>
      <c r="K128" s="18" t="s">
        <v>239</v>
      </c>
      <c r="L128" s="18" t="s">
        <v>28</v>
      </c>
      <c r="M128" s="34">
        <v>46148.0</v>
      </c>
      <c r="N128" s="35">
        <v>46331.0</v>
      </c>
      <c r="O128" s="19" t="s">
        <v>943</v>
      </c>
      <c r="P128" s="19" t="s">
        <v>944</v>
      </c>
      <c r="Q128" s="12" t="str">
        <f t="shared" si="1"/>
        <v>https://ec.europa.eu/info/funding-tenders/opportunities/portal/screen/opportunities/topic-details/HORIZON-CL3-2026-01-SSRI-04</v>
      </c>
    </row>
    <row r="129" ht="66.0" customHeight="1">
      <c r="A129" s="4" t="s">
        <v>17</v>
      </c>
      <c r="B129" s="4" t="s">
        <v>18</v>
      </c>
      <c r="C129" s="4" t="s">
        <v>19</v>
      </c>
      <c r="D129" s="5" t="s">
        <v>704</v>
      </c>
      <c r="E129" s="32" t="s">
        <v>945</v>
      </c>
      <c r="F129" s="5" t="s">
        <v>946</v>
      </c>
      <c r="G129" s="5" t="s">
        <v>947</v>
      </c>
      <c r="H129" s="19"/>
      <c r="I129" s="19" t="s">
        <v>927</v>
      </c>
      <c r="J129" s="19" t="s">
        <v>948</v>
      </c>
      <c r="K129" s="18" t="s">
        <v>239</v>
      </c>
      <c r="L129" s="18" t="s">
        <v>28</v>
      </c>
      <c r="M129" s="34">
        <v>46512.0</v>
      </c>
      <c r="N129" s="35">
        <v>46695.0</v>
      </c>
      <c r="O129" s="19" t="s">
        <v>949</v>
      </c>
      <c r="P129" s="19" t="s">
        <v>950</v>
      </c>
      <c r="Q129" s="12" t="str">
        <f t="shared" si="1"/>
        <v>https://ec.europa.eu/info/funding-tenders/opportunities/portal/screen/opportunities/topic-details/HORIZON-CL3-2027-01-SSRI-01</v>
      </c>
    </row>
    <row r="130" ht="66.0" customHeight="1">
      <c r="A130" s="4" t="s">
        <v>17</v>
      </c>
      <c r="B130" s="4" t="s">
        <v>18</v>
      </c>
      <c r="C130" s="4" t="s">
        <v>19</v>
      </c>
      <c r="D130" s="5" t="s">
        <v>704</v>
      </c>
      <c r="E130" s="32" t="s">
        <v>951</v>
      </c>
      <c r="F130" s="5" t="s">
        <v>952</v>
      </c>
      <c r="G130" s="5" t="s">
        <v>953</v>
      </c>
      <c r="H130" s="19"/>
      <c r="I130" s="19" t="s">
        <v>927</v>
      </c>
      <c r="J130" s="19" t="s">
        <v>954</v>
      </c>
      <c r="K130" s="18" t="s">
        <v>39</v>
      </c>
      <c r="L130" s="18" t="s">
        <v>28</v>
      </c>
      <c r="M130" s="34">
        <v>46512.0</v>
      </c>
      <c r="N130" s="35">
        <v>46695.0</v>
      </c>
      <c r="O130" s="19" t="s">
        <v>955</v>
      </c>
      <c r="P130" s="19" t="s">
        <v>956</v>
      </c>
      <c r="Q130" s="12" t="str">
        <f t="shared" si="1"/>
        <v>https://ec.europa.eu/info/funding-tenders/opportunities/portal/screen/opportunities/topic-details/HORIZON-CL3-2027-01-SSRI-02</v>
      </c>
    </row>
    <row r="131" ht="66.0" customHeight="1">
      <c r="A131" s="4" t="s">
        <v>17</v>
      </c>
      <c r="B131" s="4" t="s">
        <v>18</v>
      </c>
      <c r="C131" s="4" t="s">
        <v>19</v>
      </c>
      <c r="D131" s="5" t="s">
        <v>704</v>
      </c>
      <c r="E131" s="32" t="s">
        <v>957</v>
      </c>
      <c r="F131" s="5" t="s">
        <v>925</v>
      </c>
      <c r="G131" s="5" t="s">
        <v>958</v>
      </c>
      <c r="H131" s="19"/>
      <c r="I131" s="19" t="s">
        <v>927</v>
      </c>
      <c r="J131" s="19" t="s">
        <v>959</v>
      </c>
      <c r="K131" s="18" t="s">
        <v>90</v>
      </c>
      <c r="L131" s="18" t="s">
        <v>28</v>
      </c>
      <c r="M131" s="34">
        <v>46512.0</v>
      </c>
      <c r="N131" s="35">
        <v>46695.0</v>
      </c>
      <c r="O131" s="19" t="s">
        <v>960</v>
      </c>
      <c r="P131" s="19" t="s">
        <v>961</v>
      </c>
      <c r="Q131" s="12" t="str">
        <f t="shared" si="1"/>
        <v>https://ec.europa.eu/info/funding-tenders/opportunities/portal/screen/opportunities/topic-details/HORIZON-CL3-2027-01-SSRI-03</v>
      </c>
    </row>
    <row r="132" ht="66.0" customHeight="1">
      <c r="A132" s="4" t="s">
        <v>17</v>
      </c>
      <c r="B132" s="4" t="s">
        <v>18</v>
      </c>
      <c r="C132" s="4" t="s">
        <v>19</v>
      </c>
      <c r="D132" s="5" t="s">
        <v>704</v>
      </c>
      <c r="E132" s="32" t="s">
        <v>962</v>
      </c>
      <c r="F132" s="5" t="s">
        <v>963</v>
      </c>
      <c r="G132" s="5" t="s">
        <v>964</v>
      </c>
      <c r="H132" s="19"/>
      <c r="I132" s="19" t="s">
        <v>965</v>
      </c>
      <c r="J132" s="19" t="s">
        <v>966</v>
      </c>
      <c r="K132" s="18" t="s">
        <v>27</v>
      </c>
      <c r="L132" s="18" t="s">
        <v>28</v>
      </c>
      <c r="M132" s="34">
        <v>46084.0</v>
      </c>
      <c r="N132" s="35">
        <v>46280.0</v>
      </c>
      <c r="O132" s="19" t="s">
        <v>967</v>
      </c>
      <c r="P132" s="19" t="s">
        <v>968</v>
      </c>
      <c r="Q132" s="12" t="str">
        <f t="shared" si="1"/>
        <v>https://ec.europa.eu/info/funding-tenders/opportunities/portal/screen/opportunities/topic-details/HORIZON-CL3-2026-02-CS-ECCC-01</v>
      </c>
    </row>
    <row r="133" ht="66.0" customHeight="1">
      <c r="A133" s="4" t="s">
        <v>17</v>
      </c>
      <c r="B133" s="4" t="s">
        <v>18</v>
      </c>
      <c r="C133" s="4" t="s">
        <v>19</v>
      </c>
      <c r="D133" s="5" t="s">
        <v>704</v>
      </c>
      <c r="E133" s="32" t="s">
        <v>969</v>
      </c>
      <c r="F133" s="5" t="s">
        <v>970</v>
      </c>
      <c r="G133" s="5" t="s">
        <v>971</v>
      </c>
      <c r="H133" s="19"/>
      <c r="I133" s="19" t="s">
        <v>965</v>
      </c>
      <c r="J133" s="19" t="s">
        <v>972</v>
      </c>
      <c r="K133" s="18" t="s">
        <v>239</v>
      </c>
      <c r="L133" s="18" t="s">
        <v>28</v>
      </c>
      <c r="M133" s="34">
        <v>46084.0</v>
      </c>
      <c r="N133" s="35">
        <v>46280.0</v>
      </c>
      <c r="O133" s="19" t="s">
        <v>973</v>
      </c>
      <c r="P133" s="19" t="s">
        <v>974</v>
      </c>
      <c r="Q133" s="12" t="str">
        <f t="shared" si="1"/>
        <v>https://ec.europa.eu/info/funding-tenders/opportunities/portal/screen/opportunities/topic-details/HORIZON-CL3-2026-02-CS-ECCC-02</v>
      </c>
    </row>
    <row r="134" ht="66.0" customHeight="1">
      <c r="A134" s="4" t="s">
        <v>17</v>
      </c>
      <c r="B134" s="4" t="s">
        <v>18</v>
      </c>
      <c r="C134" s="4" t="s">
        <v>19</v>
      </c>
      <c r="D134" s="5" t="s">
        <v>704</v>
      </c>
      <c r="E134" s="32" t="s">
        <v>975</v>
      </c>
      <c r="F134" s="5" t="s">
        <v>976</v>
      </c>
      <c r="G134" s="5" t="s">
        <v>977</v>
      </c>
      <c r="H134" s="19"/>
      <c r="I134" s="19" t="s">
        <v>965</v>
      </c>
      <c r="J134" s="19" t="s">
        <v>978</v>
      </c>
      <c r="K134" s="18" t="s">
        <v>27</v>
      </c>
      <c r="L134" s="18" t="s">
        <v>28</v>
      </c>
      <c r="M134" s="34">
        <v>46084.0</v>
      </c>
      <c r="N134" s="35">
        <v>46280.0</v>
      </c>
      <c r="O134" s="19" t="s">
        <v>979</v>
      </c>
      <c r="P134" s="19" t="s">
        <v>980</v>
      </c>
      <c r="Q134" s="12" t="str">
        <f t="shared" si="1"/>
        <v>https://ec.europa.eu/info/funding-tenders/opportunities/portal/screen/opportunities/topic-details/HORIZON-CL3-2026-02-CS-ECCC-03</v>
      </c>
    </row>
    <row r="135" ht="66.0" customHeight="1">
      <c r="A135" s="4" t="s">
        <v>17</v>
      </c>
      <c r="B135" s="4" t="s">
        <v>18</v>
      </c>
      <c r="C135" s="4" t="s">
        <v>19</v>
      </c>
      <c r="D135" s="5" t="s">
        <v>704</v>
      </c>
      <c r="E135" s="32" t="s">
        <v>981</v>
      </c>
      <c r="F135" s="5" t="s">
        <v>982</v>
      </c>
      <c r="G135" s="5" t="s">
        <v>983</v>
      </c>
      <c r="H135" s="19"/>
      <c r="I135" s="19" t="s">
        <v>965</v>
      </c>
      <c r="J135" s="19" t="s">
        <v>984</v>
      </c>
      <c r="K135" s="18" t="s">
        <v>27</v>
      </c>
      <c r="L135" s="18" t="s">
        <v>28</v>
      </c>
      <c r="M135" s="34">
        <v>46448.0</v>
      </c>
      <c r="N135" s="35">
        <v>46645.0</v>
      </c>
      <c r="O135" s="19" t="s">
        <v>985</v>
      </c>
      <c r="P135" s="19" t="s">
        <v>986</v>
      </c>
      <c r="Q135" s="12" t="str">
        <f t="shared" si="1"/>
        <v>https://ec.europa.eu/info/funding-tenders/opportunities/portal/screen/opportunities/topic-details/HORIZON-CL3-2027-02-CS-ECCC-01</v>
      </c>
    </row>
    <row r="136" ht="66.0" customHeight="1">
      <c r="A136" s="4" t="s">
        <v>17</v>
      </c>
      <c r="B136" s="4" t="s">
        <v>18</v>
      </c>
      <c r="C136" s="4" t="s">
        <v>19</v>
      </c>
      <c r="D136" s="5" t="s">
        <v>704</v>
      </c>
      <c r="E136" s="32" t="s">
        <v>987</v>
      </c>
      <c r="F136" s="5" t="s">
        <v>988</v>
      </c>
      <c r="G136" s="5" t="s">
        <v>989</v>
      </c>
      <c r="H136" s="19"/>
      <c r="I136" s="19" t="s">
        <v>965</v>
      </c>
      <c r="J136" s="19" t="s">
        <v>990</v>
      </c>
      <c r="K136" s="18" t="s">
        <v>239</v>
      </c>
      <c r="L136" s="18" t="s">
        <v>28</v>
      </c>
      <c r="M136" s="34">
        <v>46448.0</v>
      </c>
      <c r="N136" s="35">
        <v>46645.0</v>
      </c>
      <c r="O136" s="19" t="s">
        <v>991</v>
      </c>
      <c r="P136" s="19" t="s">
        <v>992</v>
      </c>
      <c r="Q136" s="12" t="str">
        <f t="shared" si="1"/>
        <v>https://ec.europa.eu/info/funding-tenders/opportunities/portal/screen/opportunities/topic-details/HORIZON-CL3-2027-02-CS-ECCC-02</v>
      </c>
    </row>
    <row r="137" ht="66.0" customHeight="1">
      <c r="A137" s="4" t="s">
        <v>17</v>
      </c>
      <c r="B137" s="4" t="s">
        <v>18</v>
      </c>
      <c r="C137" s="4" t="s">
        <v>19</v>
      </c>
      <c r="D137" s="5" t="s">
        <v>704</v>
      </c>
      <c r="E137" s="32" t="s">
        <v>993</v>
      </c>
      <c r="F137" s="5" t="s">
        <v>994</v>
      </c>
      <c r="G137" s="5" t="s">
        <v>995</v>
      </c>
      <c r="H137" s="19"/>
      <c r="I137" s="19" t="s">
        <v>965</v>
      </c>
      <c r="J137" s="19" t="s">
        <v>996</v>
      </c>
      <c r="K137" s="18" t="s">
        <v>27</v>
      </c>
      <c r="L137" s="18" t="s">
        <v>28</v>
      </c>
      <c r="M137" s="34">
        <v>46448.0</v>
      </c>
      <c r="N137" s="35">
        <v>46645.0</v>
      </c>
      <c r="O137" s="19" t="s">
        <v>997</v>
      </c>
      <c r="P137" s="19" t="s">
        <v>998</v>
      </c>
      <c r="Q137" s="12" t="str">
        <f t="shared" si="1"/>
        <v>https://ec.europa.eu/info/funding-tenders/opportunities/portal/screen/opportunities/topic-details/HORIZON-CL3-2027-02-CS-ECCC-03</v>
      </c>
    </row>
    <row r="138" ht="66.0" customHeight="1">
      <c r="A138" s="4" t="s">
        <v>17</v>
      </c>
      <c r="B138" s="4" t="s">
        <v>18</v>
      </c>
      <c r="C138" s="4" t="s">
        <v>19</v>
      </c>
      <c r="D138" s="5" t="s">
        <v>704</v>
      </c>
      <c r="E138" s="32" t="s">
        <v>999</v>
      </c>
      <c r="F138" s="5" t="s">
        <v>1000</v>
      </c>
      <c r="G138" s="5" t="s">
        <v>1001</v>
      </c>
      <c r="H138" s="19"/>
      <c r="I138" s="19" t="s">
        <v>965</v>
      </c>
      <c r="J138" s="19" t="s">
        <v>1002</v>
      </c>
      <c r="K138" s="18" t="s">
        <v>27</v>
      </c>
      <c r="L138" s="18" t="s">
        <v>28</v>
      </c>
      <c r="M138" s="34">
        <v>46448.0</v>
      </c>
      <c r="N138" s="35">
        <v>46645.0</v>
      </c>
      <c r="O138" s="19" t="s">
        <v>1003</v>
      </c>
      <c r="P138" s="19" t="s">
        <v>1004</v>
      </c>
      <c r="Q138" s="12" t="str">
        <f t="shared" si="1"/>
        <v>https://ec.europa.eu/info/funding-tenders/opportunities/portal/screen/opportunities/topic-details/HORIZON-CL3-2027-02-CS-ECCC-04</v>
      </c>
    </row>
    <row r="139" ht="66.0" customHeight="1">
      <c r="A139" s="4" t="s">
        <v>17</v>
      </c>
      <c r="B139" s="4" t="s">
        <v>18</v>
      </c>
      <c r="C139" s="4" t="s">
        <v>19</v>
      </c>
      <c r="D139" s="5" t="s">
        <v>20</v>
      </c>
      <c r="E139" s="32" t="s">
        <v>1005</v>
      </c>
      <c r="F139" s="5" t="s">
        <v>1006</v>
      </c>
      <c r="G139" s="5" t="s">
        <v>1007</v>
      </c>
      <c r="H139" s="19"/>
      <c r="I139" s="19" t="s">
        <v>1008</v>
      </c>
      <c r="J139" s="19" t="s">
        <v>1009</v>
      </c>
      <c r="K139" s="18" t="s">
        <v>239</v>
      </c>
      <c r="L139" s="18" t="s">
        <v>157</v>
      </c>
      <c r="M139" s="34">
        <v>46007.0</v>
      </c>
      <c r="N139" s="35" t="s">
        <v>1010</v>
      </c>
      <c r="O139" s="19" t="s">
        <v>1011</v>
      </c>
      <c r="P139" s="19" t="s">
        <v>1012</v>
      </c>
      <c r="Q139" s="12" t="str">
        <f t="shared" si="1"/>
        <v>https://ec.europa.eu/info/funding-tenders/opportunities/portal/screen/opportunities/topic-details/HORIZON-CL4-2026-02-MAT-PROD-21-two-stage</v>
      </c>
    </row>
    <row r="140" ht="66.0" customHeight="1">
      <c r="A140" s="4" t="s">
        <v>17</v>
      </c>
      <c r="B140" s="4" t="s">
        <v>18</v>
      </c>
      <c r="C140" s="4" t="s">
        <v>19</v>
      </c>
      <c r="D140" s="5" t="s">
        <v>20</v>
      </c>
      <c r="E140" s="32" t="s">
        <v>1013</v>
      </c>
      <c r="F140" s="5" t="s">
        <v>1014</v>
      </c>
      <c r="G140" s="5" t="s">
        <v>1015</v>
      </c>
      <c r="H140" s="19"/>
      <c r="I140" s="19" t="s">
        <v>1016</v>
      </c>
      <c r="J140" s="19" t="s">
        <v>1017</v>
      </c>
      <c r="K140" s="18" t="s">
        <v>239</v>
      </c>
      <c r="L140" s="18" t="s">
        <v>28</v>
      </c>
      <c r="M140" s="34">
        <v>46287.0</v>
      </c>
      <c r="N140" s="35">
        <v>46420.0</v>
      </c>
      <c r="O140" s="19" t="s">
        <v>1018</v>
      </c>
      <c r="P140" s="19" t="s">
        <v>1019</v>
      </c>
      <c r="Q140" s="12" t="str">
        <f t="shared" si="1"/>
        <v>https://ec.europa.eu/info/funding-tenders/opportunities/portal/screen/opportunities/topic-details/HORIZON-CL4-2027-01-MAT-PROD-22</v>
      </c>
    </row>
    <row r="141" ht="66.0" customHeight="1">
      <c r="A141" s="4" t="s">
        <v>17</v>
      </c>
      <c r="B141" s="4" t="s">
        <v>18</v>
      </c>
      <c r="C141" s="4" t="s">
        <v>19</v>
      </c>
      <c r="D141" s="5" t="s">
        <v>20</v>
      </c>
      <c r="E141" s="32" t="s">
        <v>1020</v>
      </c>
      <c r="F141" s="5" t="s">
        <v>1021</v>
      </c>
      <c r="G141" s="5" t="s">
        <v>1022</v>
      </c>
      <c r="H141" s="19"/>
      <c r="I141" s="19" t="s">
        <v>1023</v>
      </c>
      <c r="J141" s="19" t="s">
        <v>1024</v>
      </c>
      <c r="K141" s="18" t="s">
        <v>239</v>
      </c>
      <c r="L141" s="18" t="s">
        <v>28</v>
      </c>
      <c r="M141" s="34">
        <v>46028.0</v>
      </c>
      <c r="N141" s="35">
        <v>46133.0</v>
      </c>
      <c r="O141" s="19" t="s">
        <v>1025</v>
      </c>
      <c r="P141" s="19" t="s">
        <v>1026</v>
      </c>
      <c r="Q141" s="12" t="str">
        <f t="shared" si="1"/>
        <v>https://ec.europa.eu/info/funding-tenders/opportunities/portal/screen/opportunities/topic-details/HORIZON-CL4-2026-01-MAT-PROD-23</v>
      </c>
    </row>
    <row r="142" ht="66.0" customHeight="1">
      <c r="A142" s="4" t="s">
        <v>17</v>
      </c>
      <c r="B142" s="4" t="s">
        <v>18</v>
      </c>
      <c r="C142" s="4" t="s">
        <v>19</v>
      </c>
      <c r="D142" s="5" t="s">
        <v>20</v>
      </c>
      <c r="E142" s="32" t="s">
        <v>1027</v>
      </c>
      <c r="F142" s="5" t="s">
        <v>1028</v>
      </c>
      <c r="G142" s="5" t="s">
        <v>1029</v>
      </c>
      <c r="H142" s="19"/>
      <c r="I142" s="19" t="s">
        <v>1030</v>
      </c>
      <c r="J142" s="19" t="s">
        <v>1031</v>
      </c>
      <c r="K142" s="18" t="s">
        <v>39</v>
      </c>
      <c r="L142" s="18" t="s">
        <v>28</v>
      </c>
      <c r="M142" s="34">
        <v>46028.0</v>
      </c>
      <c r="N142" s="35">
        <v>46133.0</v>
      </c>
      <c r="O142" s="19" t="s">
        <v>1032</v>
      </c>
      <c r="P142" s="19" t="s">
        <v>1033</v>
      </c>
      <c r="Q142" s="12" t="str">
        <f t="shared" si="1"/>
        <v>https://ec.europa.eu/info/funding-tenders/opportunities/portal/screen/opportunities/topic-details/HORIZON-CL4-2026-01-MAT-PROD-24</v>
      </c>
    </row>
    <row r="143" ht="66.0" customHeight="1">
      <c r="A143" s="4" t="s">
        <v>17</v>
      </c>
      <c r="B143" s="4" t="s">
        <v>18</v>
      </c>
      <c r="C143" s="4" t="s">
        <v>19</v>
      </c>
      <c r="D143" s="5" t="s">
        <v>20</v>
      </c>
      <c r="E143" s="32" t="s">
        <v>1034</v>
      </c>
      <c r="F143" s="5" t="s">
        <v>1035</v>
      </c>
      <c r="G143" s="5" t="s">
        <v>1036</v>
      </c>
      <c r="H143" s="19"/>
      <c r="I143" s="19" t="s">
        <v>895</v>
      </c>
      <c r="J143" s="19" t="s">
        <v>1037</v>
      </c>
      <c r="K143" s="18" t="s">
        <v>239</v>
      </c>
      <c r="L143" s="18" t="s">
        <v>28</v>
      </c>
      <c r="M143" s="34">
        <v>46028.0</v>
      </c>
      <c r="N143" s="35">
        <v>46133.0</v>
      </c>
      <c r="O143" s="19" t="s">
        <v>1038</v>
      </c>
      <c r="P143" s="19" t="s">
        <v>1039</v>
      </c>
      <c r="Q143" s="12" t="str">
        <f t="shared" si="1"/>
        <v>https://ec.europa.eu/info/funding-tenders/opportunities/portal/screen/opportunities/topic-details/HORIZON-CL4-2026-01-MAT-PROD-01</v>
      </c>
    </row>
    <row r="144" ht="66.0" customHeight="1">
      <c r="A144" s="4" t="s">
        <v>17</v>
      </c>
      <c r="B144" s="4" t="s">
        <v>18</v>
      </c>
      <c r="C144" s="4" t="s">
        <v>19</v>
      </c>
      <c r="D144" s="5" t="s">
        <v>20</v>
      </c>
      <c r="E144" s="32" t="s">
        <v>1040</v>
      </c>
      <c r="F144" s="5" t="s">
        <v>1035</v>
      </c>
      <c r="G144" s="5" t="s">
        <v>1041</v>
      </c>
      <c r="H144" s="19"/>
      <c r="I144" s="19" t="s">
        <v>895</v>
      </c>
      <c r="J144" s="19" t="s">
        <v>1042</v>
      </c>
      <c r="K144" s="18" t="s">
        <v>239</v>
      </c>
      <c r="L144" s="18" t="s">
        <v>28</v>
      </c>
      <c r="M144" s="34">
        <v>46287.0</v>
      </c>
      <c r="N144" s="35">
        <v>46420.0</v>
      </c>
      <c r="O144" s="19" t="s">
        <v>1043</v>
      </c>
      <c r="P144" s="19" t="s">
        <v>1044</v>
      </c>
      <c r="Q144" s="12" t="str">
        <f t="shared" si="1"/>
        <v>https://ec.europa.eu/info/funding-tenders/opportunities/portal/screen/opportunities/topic-details/HORIZON-CL4-2027-01-MAT-PROD-02</v>
      </c>
    </row>
    <row r="145" ht="66.0" customHeight="1">
      <c r="A145" s="4" t="s">
        <v>17</v>
      </c>
      <c r="B145" s="4" t="s">
        <v>18</v>
      </c>
      <c r="C145" s="4" t="s">
        <v>19</v>
      </c>
      <c r="D145" s="5" t="s">
        <v>20</v>
      </c>
      <c r="E145" s="32" t="s">
        <v>1045</v>
      </c>
      <c r="F145" s="5" t="s">
        <v>1046</v>
      </c>
      <c r="G145" s="5" t="s">
        <v>1047</v>
      </c>
      <c r="H145" s="19"/>
      <c r="I145" s="19" t="s">
        <v>847</v>
      </c>
      <c r="J145" s="19" t="s">
        <v>1048</v>
      </c>
      <c r="K145" s="18" t="s">
        <v>27</v>
      </c>
      <c r="L145" s="18" t="s">
        <v>28</v>
      </c>
      <c r="M145" s="34">
        <v>46287.0</v>
      </c>
      <c r="N145" s="35">
        <v>46420.0</v>
      </c>
      <c r="O145" s="19" t="s">
        <v>1049</v>
      </c>
      <c r="P145" s="19" t="s">
        <v>1050</v>
      </c>
      <c r="Q145" s="12" t="str">
        <f t="shared" si="1"/>
        <v>https://ec.europa.eu/info/funding-tenders/opportunities/portal/screen/opportunities/topic-details/HORIZON-CL4-2027-01-MAT-PROD-03</v>
      </c>
    </row>
    <row r="146" ht="66.0" customHeight="1">
      <c r="A146" s="4" t="s">
        <v>17</v>
      </c>
      <c r="B146" s="4" t="s">
        <v>18</v>
      </c>
      <c r="C146" s="4" t="s">
        <v>19</v>
      </c>
      <c r="D146" s="5" t="s">
        <v>20</v>
      </c>
      <c r="E146" s="32" t="s">
        <v>1051</v>
      </c>
      <c r="F146" s="5" t="s">
        <v>1052</v>
      </c>
      <c r="G146" s="5" t="s">
        <v>1053</v>
      </c>
      <c r="H146" s="19"/>
      <c r="I146" s="19" t="s">
        <v>1054</v>
      </c>
      <c r="J146" s="19" t="s">
        <v>1055</v>
      </c>
      <c r="K146" s="18" t="s">
        <v>27</v>
      </c>
      <c r="L146" s="18" t="s">
        <v>28</v>
      </c>
      <c r="M146" s="34">
        <v>46028.0</v>
      </c>
      <c r="N146" s="35">
        <v>46133.0</v>
      </c>
      <c r="O146" s="19" t="s">
        <v>1056</v>
      </c>
      <c r="P146" s="19" t="s">
        <v>1057</v>
      </c>
      <c r="Q146" s="12" t="str">
        <f t="shared" si="1"/>
        <v>https://ec.europa.eu/info/funding-tenders/opportunities/portal/screen/opportunities/topic-details/HORIZON-CL4-2026-01-MAT-PROD-04</v>
      </c>
    </row>
    <row r="147" ht="66.0" customHeight="1">
      <c r="A147" s="4" t="s">
        <v>17</v>
      </c>
      <c r="B147" s="4" t="s">
        <v>18</v>
      </c>
      <c r="C147" s="4" t="s">
        <v>19</v>
      </c>
      <c r="D147" s="5" t="s">
        <v>20</v>
      </c>
      <c r="E147" s="32" t="s">
        <v>1058</v>
      </c>
      <c r="F147" s="5" t="s">
        <v>1059</v>
      </c>
      <c r="G147" s="5" t="s">
        <v>1060</v>
      </c>
      <c r="H147" s="19"/>
      <c r="I147" s="19" t="s">
        <v>1061</v>
      </c>
      <c r="J147" s="19" t="s">
        <v>1062</v>
      </c>
      <c r="K147" s="18" t="s">
        <v>27</v>
      </c>
      <c r="L147" s="18" t="s">
        <v>28</v>
      </c>
      <c r="M147" s="34">
        <v>46028.0</v>
      </c>
      <c r="N147" s="35">
        <v>46133.0</v>
      </c>
      <c r="O147" s="19" t="s">
        <v>1063</v>
      </c>
      <c r="P147" s="19" t="s">
        <v>1064</v>
      </c>
      <c r="Q147" s="12" t="str">
        <f t="shared" si="1"/>
        <v>https://ec.europa.eu/info/funding-tenders/opportunities/portal/screen/opportunities/topic-details/HORIZON-CL4-2026-01-MAT-PROD-05</v>
      </c>
    </row>
    <row r="148" ht="66.0" customHeight="1">
      <c r="A148" s="4" t="s">
        <v>17</v>
      </c>
      <c r="B148" s="4" t="s">
        <v>18</v>
      </c>
      <c r="C148" s="4" t="s">
        <v>19</v>
      </c>
      <c r="D148" s="5" t="s">
        <v>20</v>
      </c>
      <c r="E148" s="32" t="s">
        <v>1065</v>
      </c>
      <c r="F148" s="5" t="s">
        <v>1059</v>
      </c>
      <c r="G148" s="5" t="s">
        <v>1066</v>
      </c>
      <c r="H148" s="19"/>
      <c r="I148" s="19" t="s">
        <v>1016</v>
      </c>
      <c r="J148" s="19" t="s">
        <v>1067</v>
      </c>
      <c r="K148" s="18" t="s">
        <v>27</v>
      </c>
      <c r="L148" s="18" t="s">
        <v>28</v>
      </c>
      <c r="M148" s="34">
        <v>46287.0</v>
      </c>
      <c r="N148" s="35">
        <v>46420.0</v>
      </c>
      <c r="O148" s="19" t="s">
        <v>1068</v>
      </c>
      <c r="P148" s="19" t="s">
        <v>1069</v>
      </c>
      <c r="Q148" s="12" t="str">
        <f t="shared" si="1"/>
        <v>https://ec.europa.eu/info/funding-tenders/opportunities/portal/screen/opportunities/topic-details/HORIZON-CL4-2027-01-MAT-PROD-06</v>
      </c>
    </row>
    <row r="149" ht="66.0" customHeight="1">
      <c r="A149" s="4" t="s">
        <v>17</v>
      </c>
      <c r="B149" s="4" t="s">
        <v>18</v>
      </c>
      <c r="C149" s="4" t="s">
        <v>19</v>
      </c>
      <c r="D149" s="5" t="s">
        <v>20</v>
      </c>
      <c r="E149" s="32" t="s">
        <v>1070</v>
      </c>
      <c r="F149" s="5" t="s">
        <v>1071</v>
      </c>
      <c r="G149" s="5" t="s">
        <v>1072</v>
      </c>
      <c r="H149" s="19"/>
      <c r="I149" s="19" t="s">
        <v>1073</v>
      </c>
      <c r="J149" s="19" t="s">
        <v>1074</v>
      </c>
      <c r="K149" s="18" t="s">
        <v>239</v>
      </c>
      <c r="L149" s="18" t="s">
        <v>28</v>
      </c>
      <c r="M149" s="34">
        <v>46287.0</v>
      </c>
      <c r="N149" s="35">
        <v>46420.0</v>
      </c>
      <c r="O149" s="19" t="s">
        <v>1075</v>
      </c>
      <c r="P149" s="19" t="s">
        <v>1076</v>
      </c>
      <c r="Q149" s="12" t="str">
        <f t="shared" si="1"/>
        <v>https://ec.europa.eu/info/funding-tenders/opportunities/portal/screen/opportunities/topic-details/HORIZON-CL4-2027-01-MAT-PROD-08</v>
      </c>
    </row>
    <row r="150" ht="66.0" customHeight="1">
      <c r="A150" s="4" t="s">
        <v>17</v>
      </c>
      <c r="B150" s="4" t="s">
        <v>18</v>
      </c>
      <c r="C150" s="4" t="s">
        <v>19</v>
      </c>
      <c r="D150" s="5" t="s">
        <v>20</v>
      </c>
      <c r="E150" s="32" t="s">
        <v>1077</v>
      </c>
      <c r="F150" s="5" t="s">
        <v>1078</v>
      </c>
      <c r="G150" s="5" t="s">
        <v>1079</v>
      </c>
      <c r="H150" s="19"/>
      <c r="I150" s="19" t="s">
        <v>1080</v>
      </c>
      <c r="J150" s="19" t="s">
        <v>1081</v>
      </c>
      <c r="K150" s="18" t="s">
        <v>27</v>
      </c>
      <c r="L150" s="18" t="s">
        <v>28</v>
      </c>
      <c r="M150" s="34">
        <v>46028.0</v>
      </c>
      <c r="N150" s="35">
        <v>46133.0</v>
      </c>
      <c r="O150" s="19" t="s">
        <v>1082</v>
      </c>
      <c r="P150" s="19" t="s">
        <v>1083</v>
      </c>
      <c r="Q150" s="12" t="str">
        <f t="shared" si="1"/>
        <v>https://ec.europa.eu/info/funding-tenders/opportunities/portal/screen/opportunities/topic-details/HORIZON-CL4-2026-01-MAT-PROD-31</v>
      </c>
    </row>
    <row r="151" ht="66.0" customHeight="1">
      <c r="A151" s="4" t="s">
        <v>17</v>
      </c>
      <c r="B151" s="4" t="s">
        <v>18</v>
      </c>
      <c r="C151" s="4" t="s">
        <v>19</v>
      </c>
      <c r="D151" s="5" t="s">
        <v>20</v>
      </c>
      <c r="E151" s="32" t="s">
        <v>1084</v>
      </c>
      <c r="F151" s="5" t="s">
        <v>1085</v>
      </c>
      <c r="G151" s="5" t="s">
        <v>1086</v>
      </c>
      <c r="H151" s="19"/>
      <c r="I151" s="19" t="s">
        <v>1087</v>
      </c>
      <c r="J151" s="19" t="s">
        <v>1088</v>
      </c>
      <c r="K151" s="18" t="s">
        <v>27</v>
      </c>
      <c r="L151" s="18" t="s">
        <v>157</v>
      </c>
      <c r="M151" s="34">
        <v>46287.0</v>
      </c>
      <c r="N151" s="35" t="s">
        <v>1089</v>
      </c>
      <c r="O151" s="19" t="s">
        <v>1090</v>
      </c>
      <c r="P151" s="19" t="s">
        <v>1091</v>
      </c>
      <c r="Q151" s="12" t="str">
        <f t="shared" si="1"/>
        <v>https://ec.europa.eu/info/funding-tenders/opportunities/portal/screen/opportunities/topic-details/HORIZON-CL4-2027-02-MAT-PROD-32-two-stage</v>
      </c>
    </row>
    <row r="152" ht="66.0" customHeight="1">
      <c r="A152" s="4" t="s">
        <v>17</v>
      </c>
      <c r="B152" s="4" t="s">
        <v>18</v>
      </c>
      <c r="C152" s="4" t="s">
        <v>19</v>
      </c>
      <c r="D152" s="5" t="s">
        <v>20</v>
      </c>
      <c r="E152" s="32" t="s">
        <v>1092</v>
      </c>
      <c r="F152" s="5" t="s">
        <v>1093</v>
      </c>
      <c r="G152" s="5" t="s">
        <v>1094</v>
      </c>
      <c r="H152" s="19" t="s">
        <v>636</v>
      </c>
      <c r="I152" s="19" t="s">
        <v>533</v>
      </c>
      <c r="J152" s="19" t="s">
        <v>1095</v>
      </c>
      <c r="K152" s="18" t="s">
        <v>39</v>
      </c>
      <c r="L152" s="18" t="s">
        <v>28</v>
      </c>
      <c r="M152" s="34">
        <v>46028.0</v>
      </c>
      <c r="N152" s="35">
        <v>46133.0</v>
      </c>
      <c r="O152" s="19" t="s">
        <v>1096</v>
      </c>
      <c r="P152" s="19" t="s">
        <v>1097</v>
      </c>
      <c r="Q152" s="12" t="str">
        <f t="shared" si="1"/>
        <v>https://ec.europa.eu/info/funding-tenders/opportunities/portal/screen/opportunities/topic-details/HORIZON-CL4-2026-01-MAT-PROD-41</v>
      </c>
    </row>
    <row r="153" ht="66.0" customHeight="1">
      <c r="A153" s="4" t="s">
        <v>17</v>
      </c>
      <c r="B153" s="4" t="s">
        <v>18</v>
      </c>
      <c r="C153" s="4" t="s">
        <v>19</v>
      </c>
      <c r="D153" s="5" t="s">
        <v>20</v>
      </c>
      <c r="E153" s="32" t="s">
        <v>1098</v>
      </c>
      <c r="F153" s="5" t="s">
        <v>1099</v>
      </c>
      <c r="G153" s="5" t="s">
        <v>1100</v>
      </c>
      <c r="H153" s="19" t="s">
        <v>636</v>
      </c>
      <c r="I153" s="19" t="s">
        <v>1030</v>
      </c>
      <c r="J153" s="19" t="s">
        <v>1101</v>
      </c>
      <c r="K153" s="18" t="s">
        <v>39</v>
      </c>
      <c r="L153" s="18" t="s">
        <v>28</v>
      </c>
      <c r="M153" s="34">
        <v>46287.0</v>
      </c>
      <c r="N153" s="35">
        <v>46420.0</v>
      </c>
      <c r="O153" s="19" t="s">
        <v>1102</v>
      </c>
      <c r="P153" s="19" t="s">
        <v>1103</v>
      </c>
      <c r="Q153" s="12" t="str">
        <f t="shared" si="1"/>
        <v>https://ec.europa.eu/info/funding-tenders/opportunities/portal/screen/opportunities/topic-details/HORIZON-CL4-2027-01-MAT-PROD-42</v>
      </c>
    </row>
    <row r="154" ht="66.0" customHeight="1">
      <c r="A154" s="4" t="s">
        <v>17</v>
      </c>
      <c r="B154" s="4" t="s">
        <v>18</v>
      </c>
      <c r="C154" s="4" t="s">
        <v>19</v>
      </c>
      <c r="D154" s="5" t="s">
        <v>20</v>
      </c>
      <c r="E154" s="32" t="s">
        <v>1104</v>
      </c>
      <c r="F154" s="5" t="s">
        <v>1105</v>
      </c>
      <c r="G154" s="5" t="s">
        <v>1106</v>
      </c>
      <c r="H154" s="19"/>
      <c r="I154" s="19" t="s">
        <v>1107</v>
      </c>
      <c r="J154" s="19" t="s">
        <v>1108</v>
      </c>
      <c r="K154" s="18" t="s">
        <v>27</v>
      </c>
      <c r="L154" s="18" t="s">
        <v>28</v>
      </c>
      <c r="M154" s="34">
        <v>46287.0</v>
      </c>
      <c r="N154" s="35">
        <v>46420.0</v>
      </c>
      <c r="O154" s="19" t="s">
        <v>1109</v>
      </c>
      <c r="P154" s="19" t="s">
        <v>1110</v>
      </c>
      <c r="Q154" s="12" t="str">
        <f t="shared" si="1"/>
        <v>https://ec.europa.eu/info/funding-tenders/opportunities/portal/screen/opportunities/topic-details/HORIZON-CL4-2027-01-MAT-PROD-61</v>
      </c>
    </row>
    <row r="155" ht="66.0" customHeight="1">
      <c r="A155" s="4" t="s">
        <v>17</v>
      </c>
      <c r="B155" s="4" t="s">
        <v>18</v>
      </c>
      <c r="C155" s="4" t="s">
        <v>19</v>
      </c>
      <c r="D155" s="5" t="s">
        <v>20</v>
      </c>
      <c r="E155" s="32" t="s">
        <v>1111</v>
      </c>
      <c r="F155" s="5" t="s">
        <v>1112</v>
      </c>
      <c r="G155" s="5" t="s">
        <v>1113</v>
      </c>
      <c r="H155" s="19"/>
      <c r="I155" s="19" t="s">
        <v>1080</v>
      </c>
      <c r="J155" s="19" t="s">
        <v>1114</v>
      </c>
      <c r="K155" s="18" t="s">
        <v>27</v>
      </c>
      <c r="L155" s="18" t="s">
        <v>28</v>
      </c>
      <c r="M155" s="34">
        <v>46287.0</v>
      </c>
      <c r="N155" s="35">
        <v>46420.0</v>
      </c>
      <c r="O155" s="19" t="s">
        <v>1115</v>
      </c>
      <c r="P155" s="19" t="s">
        <v>1116</v>
      </c>
      <c r="Q155" s="12" t="str">
        <f t="shared" si="1"/>
        <v>https://ec.europa.eu/info/funding-tenders/opportunities/portal/screen/opportunities/topic-details/HORIZON-CL4-2027-01-MAT-PROD-62</v>
      </c>
    </row>
    <row r="156" ht="66.0" customHeight="1">
      <c r="A156" s="4" t="s">
        <v>17</v>
      </c>
      <c r="B156" s="4" t="s">
        <v>18</v>
      </c>
      <c r="C156" s="4" t="s">
        <v>19</v>
      </c>
      <c r="D156" s="5" t="s">
        <v>20</v>
      </c>
      <c r="E156" s="32" t="s">
        <v>1117</v>
      </c>
      <c r="F156" s="5" t="s">
        <v>1118</v>
      </c>
      <c r="G156" s="5" t="s">
        <v>1119</v>
      </c>
      <c r="H156" s="19" t="s">
        <v>1120</v>
      </c>
      <c r="I156" s="19" t="s">
        <v>1121</v>
      </c>
      <c r="J156" s="19" t="s">
        <v>1122</v>
      </c>
      <c r="K156" s="18" t="s">
        <v>39</v>
      </c>
      <c r="L156" s="18" t="s">
        <v>28</v>
      </c>
      <c r="M156" s="34">
        <v>46028.0</v>
      </c>
      <c r="N156" s="35">
        <v>46133.0</v>
      </c>
      <c r="O156" s="19" t="s">
        <v>1123</v>
      </c>
      <c r="P156" s="19" t="s">
        <v>1124</v>
      </c>
      <c r="Q156" s="12" t="str">
        <f t="shared" si="1"/>
        <v>https://ec.europa.eu/info/funding-tenders/opportunities/portal/screen/opportunities/topic-details/HORIZON-CL4-2026-01-MAT-PROD-44</v>
      </c>
    </row>
    <row r="157" ht="66.0" customHeight="1">
      <c r="A157" s="4" t="s">
        <v>17</v>
      </c>
      <c r="B157" s="4" t="s">
        <v>18</v>
      </c>
      <c r="C157" s="4" t="s">
        <v>19</v>
      </c>
      <c r="D157" s="5" t="s">
        <v>20</v>
      </c>
      <c r="E157" s="32" t="s">
        <v>1125</v>
      </c>
      <c r="F157" s="5" t="s">
        <v>1126</v>
      </c>
      <c r="G157" s="5" t="s">
        <v>1127</v>
      </c>
      <c r="H157" s="19"/>
      <c r="I157" s="19" t="s">
        <v>1121</v>
      </c>
      <c r="J157" s="19" t="s">
        <v>1128</v>
      </c>
      <c r="K157" s="18" t="s">
        <v>39</v>
      </c>
      <c r="L157" s="18" t="s">
        <v>28</v>
      </c>
      <c r="M157" s="34">
        <v>46028.0</v>
      </c>
      <c r="N157" s="35">
        <v>46133.0</v>
      </c>
      <c r="O157" s="19" t="s">
        <v>1129</v>
      </c>
      <c r="P157" s="19" t="s">
        <v>1130</v>
      </c>
      <c r="Q157" s="12" t="str">
        <f t="shared" si="1"/>
        <v>https://ec.europa.eu/info/funding-tenders/opportunities/portal/screen/opportunities/topic-details/HORIZON-CL4-2026-01-MAT-PROD-45</v>
      </c>
    </row>
    <row r="158" ht="66.0" customHeight="1">
      <c r="A158" s="4" t="s">
        <v>17</v>
      </c>
      <c r="B158" s="4" t="s">
        <v>18</v>
      </c>
      <c r="C158" s="4" t="s">
        <v>19</v>
      </c>
      <c r="D158" s="5" t="s">
        <v>20</v>
      </c>
      <c r="E158" s="32" t="s">
        <v>1131</v>
      </c>
      <c r="F158" s="5" t="s">
        <v>1132</v>
      </c>
      <c r="G158" s="5" t="s">
        <v>1133</v>
      </c>
      <c r="H158" s="19"/>
      <c r="I158" s="19" t="s">
        <v>965</v>
      </c>
      <c r="J158" s="19" t="s">
        <v>1134</v>
      </c>
      <c r="K158" s="18" t="s">
        <v>39</v>
      </c>
      <c r="L158" s="18" t="s">
        <v>28</v>
      </c>
      <c r="M158" s="34">
        <v>46028.0</v>
      </c>
      <c r="N158" s="35">
        <v>46133.0</v>
      </c>
      <c r="O158" s="19" t="s">
        <v>1135</v>
      </c>
      <c r="P158" s="19" t="s">
        <v>1136</v>
      </c>
      <c r="Q158" s="12" t="str">
        <f t="shared" si="1"/>
        <v>https://ec.europa.eu/info/funding-tenders/opportunities/portal/screen/opportunities/topic-details/HORIZON-CL4-2026-01-MAT-PROD-46</v>
      </c>
    </row>
    <row r="159" ht="66.0" customHeight="1">
      <c r="A159" s="4" t="s">
        <v>17</v>
      </c>
      <c r="B159" s="4" t="s">
        <v>18</v>
      </c>
      <c r="C159" s="4" t="s">
        <v>19</v>
      </c>
      <c r="D159" s="5" t="s">
        <v>20</v>
      </c>
      <c r="E159" s="32" t="s">
        <v>1137</v>
      </c>
      <c r="F159" s="5" t="s">
        <v>1126</v>
      </c>
      <c r="G159" s="5" t="s">
        <v>1138</v>
      </c>
      <c r="H159" s="19"/>
      <c r="I159" s="19" t="s">
        <v>1121</v>
      </c>
      <c r="J159" s="19" t="s">
        <v>1139</v>
      </c>
      <c r="K159" s="18" t="s">
        <v>39</v>
      </c>
      <c r="L159" s="18" t="s">
        <v>28</v>
      </c>
      <c r="M159" s="34">
        <v>46287.0</v>
      </c>
      <c r="N159" s="35">
        <v>46420.0</v>
      </c>
      <c r="O159" s="19" t="s">
        <v>1140</v>
      </c>
      <c r="P159" s="19" t="s">
        <v>1141</v>
      </c>
      <c r="Q159" s="12" t="str">
        <f t="shared" si="1"/>
        <v>https://ec.europa.eu/info/funding-tenders/opportunities/portal/screen/opportunities/topic-details/HORIZON-CL4-2027-01-MAT-PROD-47</v>
      </c>
    </row>
    <row r="160" ht="66.0" customHeight="1">
      <c r="A160" s="4" t="s">
        <v>17</v>
      </c>
      <c r="B160" s="4" t="s">
        <v>18</v>
      </c>
      <c r="C160" s="4" t="s">
        <v>19</v>
      </c>
      <c r="D160" s="5" t="s">
        <v>20</v>
      </c>
      <c r="E160" s="32" t="s">
        <v>1142</v>
      </c>
      <c r="F160" s="5" t="s">
        <v>1143</v>
      </c>
      <c r="G160" s="5" t="s">
        <v>1144</v>
      </c>
      <c r="H160" s="19"/>
      <c r="I160" s="19" t="s">
        <v>1121</v>
      </c>
      <c r="J160" s="19" t="s">
        <v>1145</v>
      </c>
      <c r="K160" s="18" t="s">
        <v>239</v>
      </c>
      <c r="L160" s="18" t="s">
        <v>28</v>
      </c>
      <c r="M160" s="34">
        <v>46028.0</v>
      </c>
      <c r="N160" s="35">
        <v>46133.0</v>
      </c>
      <c r="O160" s="19" t="s">
        <v>1146</v>
      </c>
      <c r="P160" s="19" t="s">
        <v>1147</v>
      </c>
      <c r="Q160" s="12" t="str">
        <f t="shared" si="1"/>
        <v>https://ec.europa.eu/info/funding-tenders/opportunities/portal/screen/opportunities/topic-details/HORIZON-CL4-2026-01-MAT-PROD-48</v>
      </c>
    </row>
    <row r="161" ht="66.0" customHeight="1">
      <c r="A161" s="4" t="s">
        <v>17</v>
      </c>
      <c r="B161" s="4" t="s">
        <v>18</v>
      </c>
      <c r="C161" s="4" t="s">
        <v>19</v>
      </c>
      <c r="D161" s="5" t="s">
        <v>20</v>
      </c>
      <c r="E161" s="32" t="s">
        <v>1148</v>
      </c>
      <c r="F161" s="5" t="s">
        <v>1143</v>
      </c>
      <c r="G161" s="5" t="s">
        <v>1149</v>
      </c>
      <c r="H161" s="19"/>
      <c r="I161" s="19" t="s">
        <v>1121</v>
      </c>
      <c r="J161" s="19" t="s">
        <v>1150</v>
      </c>
      <c r="K161" s="18" t="s">
        <v>239</v>
      </c>
      <c r="L161" s="18" t="s">
        <v>28</v>
      </c>
      <c r="M161" s="34">
        <v>46287.0</v>
      </c>
      <c r="N161" s="35">
        <v>46420.0</v>
      </c>
      <c r="O161" s="19" t="s">
        <v>1151</v>
      </c>
      <c r="P161" s="19" t="s">
        <v>1152</v>
      </c>
      <c r="Q161" s="12" t="str">
        <f t="shared" si="1"/>
        <v>https://ec.europa.eu/info/funding-tenders/opportunities/portal/screen/opportunities/topic-details/HORIZON-CL4-2027-01-MAT-PROD-49</v>
      </c>
    </row>
    <row r="162" ht="66.0" customHeight="1">
      <c r="A162" s="4" t="s">
        <v>17</v>
      </c>
      <c r="B162" s="4" t="s">
        <v>18</v>
      </c>
      <c r="C162" s="4" t="s">
        <v>19</v>
      </c>
      <c r="D162" s="5" t="s">
        <v>20</v>
      </c>
      <c r="E162" s="32" t="s">
        <v>1153</v>
      </c>
      <c r="F162" s="5" t="s">
        <v>1154</v>
      </c>
      <c r="G162" s="5" t="s">
        <v>1155</v>
      </c>
      <c r="H162" s="19"/>
      <c r="I162" s="19" t="s">
        <v>1156</v>
      </c>
      <c r="J162" s="19" t="s">
        <v>1157</v>
      </c>
      <c r="K162" s="18" t="s">
        <v>27</v>
      </c>
      <c r="L162" s="18" t="s">
        <v>28</v>
      </c>
      <c r="M162" s="34">
        <v>46028.0</v>
      </c>
      <c r="N162" s="35">
        <v>46133.0</v>
      </c>
      <c r="O162" s="19" t="s">
        <v>1158</v>
      </c>
      <c r="P162" s="19" t="s">
        <v>1159</v>
      </c>
      <c r="Q162" s="12" t="str">
        <f t="shared" si="1"/>
        <v>https://ec.europa.eu/info/funding-tenders/opportunities/portal/screen/opportunities/topic-details/HORIZON-CL4-2026-01-MAT-PROD-11</v>
      </c>
    </row>
    <row r="163" ht="66.0" customHeight="1">
      <c r="A163" s="4" t="s">
        <v>17</v>
      </c>
      <c r="B163" s="4" t="s">
        <v>18</v>
      </c>
      <c r="C163" s="4" t="s">
        <v>19</v>
      </c>
      <c r="D163" s="5" t="s">
        <v>20</v>
      </c>
      <c r="E163" s="32" t="s">
        <v>1160</v>
      </c>
      <c r="F163" s="5" t="s">
        <v>1161</v>
      </c>
      <c r="G163" s="5" t="s">
        <v>1162</v>
      </c>
      <c r="H163" s="19"/>
      <c r="I163" s="19" t="s">
        <v>1163</v>
      </c>
      <c r="J163" s="19" t="s">
        <v>1164</v>
      </c>
      <c r="K163" s="18" t="s">
        <v>27</v>
      </c>
      <c r="L163" s="18" t="s">
        <v>28</v>
      </c>
      <c r="M163" s="34">
        <v>46028.0</v>
      </c>
      <c r="N163" s="35">
        <v>46133.0</v>
      </c>
      <c r="O163" s="19" t="s">
        <v>1165</v>
      </c>
      <c r="P163" s="19" t="s">
        <v>1166</v>
      </c>
      <c r="Q163" s="12" t="str">
        <f t="shared" si="1"/>
        <v>https://ec.europa.eu/info/funding-tenders/opportunities/portal/screen/opportunities/topic-details/HORIZON-CL4-2026-01-MAT-PROD-12</v>
      </c>
    </row>
    <row r="164" ht="66.0" customHeight="1">
      <c r="A164" s="4" t="s">
        <v>17</v>
      </c>
      <c r="B164" s="4" t="s">
        <v>18</v>
      </c>
      <c r="C164" s="4" t="s">
        <v>19</v>
      </c>
      <c r="D164" s="5" t="s">
        <v>20</v>
      </c>
      <c r="E164" s="32" t="s">
        <v>1167</v>
      </c>
      <c r="F164" s="5" t="s">
        <v>1168</v>
      </c>
      <c r="G164" s="5" t="s">
        <v>1169</v>
      </c>
      <c r="H164" s="19"/>
      <c r="I164" s="19" t="s">
        <v>1170</v>
      </c>
      <c r="J164" s="19" t="s">
        <v>1171</v>
      </c>
      <c r="K164" s="18" t="s">
        <v>39</v>
      </c>
      <c r="L164" s="18" t="s">
        <v>28</v>
      </c>
      <c r="M164" s="34">
        <v>46028.0</v>
      </c>
      <c r="N164" s="35">
        <v>46133.0</v>
      </c>
      <c r="O164" s="19" t="s">
        <v>1172</v>
      </c>
      <c r="P164" s="19" t="s">
        <v>1173</v>
      </c>
      <c r="Q164" s="12" t="str">
        <f t="shared" si="1"/>
        <v>https://ec.europa.eu/info/funding-tenders/opportunities/portal/screen/opportunities/topic-details/HORIZON-CL4-2026-01-MAT-PROD-13</v>
      </c>
    </row>
    <row r="165" ht="66.0" customHeight="1">
      <c r="A165" s="4" t="s">
        <v>17</v>
      </c>
      <c r="B165" s="4" t="s">
        <v>18</v>
      </c>
      <c r="C165" s="4" t="s">
        <v>19</v>
      </c>
      <c r="D165" s="5" t="s">
        <v>20</v>
      </c>
      <c r="E165" s="32" t="s">
        <v>1174</v>
      </c>
      <c r="F165" s="5" t="s">
        <v>1175</v>
      </c>
      <c r="G165" s="5" t="s">
        <v>1176</v>
      </c>
      <c r="H165" s="19"/>
      <c r="I165" s="19" t="s">
        <v>1054</v>
      </c>
      <c r="J165" s="19" t="s">
        <v>1177</v>
      </c>
      <c r="K165" s="18" t="s">
        <v>239</v>
      </c>
      <c r="L165" s="18" t="s">
        <v>28</v>
      </c>
      <c r="M165" s="34">
        <v>46028.0</v>
      </c>
      <c r="N165" s="35">
        <v>46133.0</v>
      </c>
      <c r="O165" s="19" t="s">
        <v>1178</v>
      </c>
      <c r="P165" s="19" t="s">
        <v>1179</v>
      </c>
      <c r="Q165" s="12" t="str">
        <f t="shared" si="1"/>
        <v>https://ec.europa.eu/info/funding-tenders/opportunities/portal/screen/opportunities/topic-details/HORIZON-CL4-2026-01-MAT-PROD-14</v>
      </c>
    </row>
    <row r="166" ht="66.0" customHeight="1">
      <c r="A166" s="4" t="s">
        <v>17</v>
      </c>
      <c r="B166" s="4" t="s">
        <v>18</v>
      </c>
      <c r="C166" s="4" t="s">
        <v>19</v>
      </c>
      <c r="D166" s="5" t="s">
        <v>20</v>
      </c>
      <c r="E166" s="32" t="s">
        <v>1180</v>
      </c>
      <c r="F166" s="5" t="s">
        <v>1181</v>
      </c>
      <c r="G166" s="5" t="s">
        <v>1182</v>
      </c>
      <c r="H166" s="19"/>
      <c r="I166" s="19" t="s">
        <v>1054</v>
      </c>
      <c r="J166" s="19" t="s">
        <v>1183</v>
      </c>
      <c r="K166" s="18" t="s">
        <v>239</v>
      </c>
      <c r="L166" s="18" t="s">
        <v>28</v>
      </c>
      <c r="M166" s="34">
        <v>46287.0</v>
      </c>
      <c r="N166" s="35">
        <v>46420.0</v>
      </c>
      <c r="O166" s="19" t="s">
        <v>1184</v>
      </c>
      <c r="P166" s="19" t="s">
        <v>1185</v>
      </c>
      <c r="Q166" s="12" t="str">
        <f t="shared" si="1"/>
        <v>https://ec.europa.eu/info/funding-tenders/opportunities/portal/screen/opportunities/topic-details/HORIZON-CL4-2027-01-MAT-PROD-16</v>
      </c>
    </row>
    <row r="167" ht="66.0" customHeight="1">
      <c r="A167" s="4" t="s">
        <v>17</v>
      </c>
      <c r="B167" s="4" t="s">
        <v>18</v>
      </c>
      <c r="C167" s="4" t="s">
        <v>19</v>
      </c>
      <c r="D167" s="5" t="s">
        <v>20</v>
      </c>
      <c r="E167" s="32" t="s">
        <v>1186</v>
      </c>
      <c r="F167" s="5" t="s">
        <v>1187</v>
      </c>
      <c r="G167" s="5" t="s">
        <v>1188</v>
      </c>
      <c r="H167" s="19"/>
      <c r="I167" s="19" t="s">
        <v>1121</v>
      </c>
      <c r="J167" s="19" t="s">
        <v>1189</v>
      </c>
      <c r="K167" s="18" t="s">
        <v>39</v>
      </c>
      <c r="L167" s="18" t="s">
        <v>28</v>
      </c>
      <c r="M167" s="34">
        <v>46287.0</v>
      </c>
      <c r="N167" s="35">
        <v>46420.0</v>
      </c>
      <c r="O167" s="19" t="s">
        <v>1190</v>
      </c>
      <c r="P167" s="19" t="s">
        <v>1191</v>
      </c>
      <c r="Q167" s="12" t="str">
        <f t="shared" si="1"/>
        <v>https://ec.europa.eu/info/funding-tenders/opportunities/portal/screen/opportunities/topic-details/HORIZON-CL4-2027-01-MAT-PROD-17</v>
      </c>
    </row>
    <row r="168" ht="66.0" customHeight="1">
      <c r="A168" s="4" t="s">
        <v>17</v>
      </c>
      <c r="B168" s="4" t="s">
        <v>18</v>
      </c>
      <c r="C168" s="4" t="s">
        <v>19</v>
      </c>
      <c r="D168" s="5" t="s">
        <v>20</v>
      </c>
      <c r="E168" s="32" t="s">
        <v>1192</v>
      </c>
      <c r="F168" s="5" t="s">
        <v>1193</v>
      </c>
      <c r="G168" s="5" t="s">
        <v>1194</v>
      </c>
      <c r="H168" s="19"/>
      <c r="I168" s="19" t="s">
        <v>1195</v>
      </c>
      <c r="J168" s="19" t="s">
        <v>1196</v>
      </c>
      <c r="K168" s="18" t="s">
        <v>27</v>
      </c>
      <c r="L168" s="18" t="s">
        <v>28</v>
      </c>
      <c r="M168" s="34">
        <v>46037.0</v>
      </c>
      <c r="N168" s="35">
        <v>46127.0</v>
      </c>
      <c r="O168" s="19" t="s">
        <v>1197</v>
      </c>
      <c r="P168" s="19" t="s">
        <v>1198</v>
      </c>
      <c r="Q168" s="12" t="str">
        <f t="shared" si="1"/>
        <v>https://ec.europa.eu/info/funding-tenders/opportunities/portal/screen/opportunities/topic-details/HORIZON-CL4-2026-05-MAT-PROD-25</v>
      </c>
    </row>
    <row r="169" ht="66.0" customHeight="1">
      <c r="A169" s="4" t="s">
        <v>17</v>
      </c>
      <c r="B169" s="4" t="s">
        <v>18</v>
      </c>
      <c r="C169" s="4" t="s">
        <v>19</v>
      </c>
      <c r="D169" s="5" t="s">
        <v>20</v>
      </c>
      <c r="E169" s="32" t="s">
        <v>1199</v>
      </c>
      <c r="F169" s="5" t="s">
        <v>1200</v>
      </c>
      <c r="G169" s="5" t="s">
        <v>1201</v>
      </c>
      <c r="H169" s="19"/>
      <c r="I169" s="19" t="s">
        <v>941</v>
      </c>
      <c r="J169" s="19" t="s">
        <v>1202</v>
      </c>
      <c r="K169" s="18" t="s">
        <v>239</v>
      </c>
      <c r="L169" s="18" t="s">
        <v>28</v>
      </c>
      <c r="M169" s="34">
        <v>46343.0</v>
      </c>
      <c r="N169" s="35">
        <v>46464.0</v>
      </c>
      <c r="O169" s="19" t="s">
        <v>1203</v>
      </c>
      <c r="P169" s="19" t="s">
        <v>1204</v>
      </c>
      <c r="Q169" s="12" t="str">
        <f t="shared" si="1"/>
        <v>https://ec.europa.eu/info/funding-tenders/opportunities/portal/screen/opportunities/topic-details/HORIZON-CL4-2027-04-DATA-08</v>
      </c>
    </row>
    <row r="170" ht="66.0" customHeight="1">
      <c r="A170" s="4" t="s">
        <v>17</v>
      </c>
      <c r="B170" s="4" t="s">
        <v>18</v>
      </c>
      <c r="C170" s="4" t="s">
        <v>19</v>
      </c>
      <c r="D170" s="5" t="s">
        <v>20</v>
      </c>
      <c r="E170" s="32" t="s">
        <v>1205</v>
      </c>
      <c r="F170" s="5" t="s">
        <v>1206</v>
      </c>
      <c r="G170" s="5" t="s">
        <v>1207</v>
      </c>
      <c r="H170" s="19"/>
      <c r="I170" s="19" t="s">
        <v>965</v>
      </c>
      <c r="J170" s="19" t="s">
        <v>1208</v>
      </c>
      <c r="K170" s="18" t="s">
        <v>27</v>
      </c>
      <c r="L170" s="18" t="s">
        <v>28</v>
      </c>
      <c r="M170" s="34">
        <v>46037.0</v>
      </c>
      <c r="N170" s="35">
        <v>46127.0</v>
      </c>
      <c r="O170" s="19" t="s">
        <v>1209</v>
      </c>
      <c r="P170" s="19" t="s">
        <v>1210</v>
      </c>
      <c r="Q170" s="12" t="str">
        <f t="shared" si="1"/>
        <v>https://ec.europa.eu/info/funding-tenders/opportunities/portal/screen/opportunities/topic-details/HORIZON-CL4-2026-04-DATA-02</v>
      </c>
    </row>
    <row r="171" ht="66.0" customHeight="1">
      <c r="A171" s="4" t="s">
        <v>17</v>
      </c>
      <c r="B171" s="4" t="s">
        <v>18</v>
      </c>
      <c r="C171" s="4" t="s">
        <v>19</v>
      </c>
      <c r="D171" s="5" t="s">
        <v>20</v>
      </c>
      <c r="E171" s="32" t="s">
        <v>1211</v>
      </c>
      <c r="F171" s="5" t="s">
        <v>1212</v>
      </c>
      <c r="G171" s="5" t="s">
        <v>1213</v>
      </c>
      <c r="H171" s="19"/>
      <c r="I171" s="19" t="s">
        <v>934</v>
      </c>
      <c r="J171" s="19" t="s">
        <v>1214</v>
      </c>
      <c r="K171" s="18" t="s">
        <v>39</v>
      </c>
      <c r="L171" s="18" t="s">
        <v>28</v>
      </c>
      <c r="M171" s="34">
        <v>46037.0</v>
      </c>
      <c r="N171" s="35">
        <v>46127.0</v>
      </c>
      <c r="O171" s="19" t="s">
        <v>1215</v>
      </c>
      <c r="P171" s="19" t="s">
        <v>1216</v>
      </c>
      <c r="Q171" s="12" t="str">
        <f t="shared" si="1"/>
        <v>https://ec.europa.eu/info/funding-tenders/opportunities/portal/screen/opportunities/topic-details/HORIZON-CL4-2026-04-DATA-03</v>
      </c>
    </row>
    <row r="172" ht="66.0" customHeight="1">
      <c r="A172" s="4" t="s">
        <v>17</v>
      </c>
      <c r="B172" s="4" t="s">
        <v>18</v>
      </c>
      <c r="C172" s="4" t="s">
        <v>19</v>
      </c>
      <c r="D172" s="5" t="s">
        <v>20</v>
      </c>
      <c r="E172" s="32" t="s">
        <v>1217</v>
      </c>
      <c r="F172" s="5" t="s">
        <v>1218</v>
      </c>
      <c r="G172" s="5" t="s">
        <v>1219</v>
      </c>
      <c r="H172" s="19"/>
      <c r="I172" s="19" t="s">
        <v>965</v>
      </c>
      <c r="J172" s="19" t="s">
        <v>1220</v>
      </c>
      <c r="K172" s="18" t="s">
        <v>27</v>
      </c>
      <c r="L172" s="18" t="s">
        <v>28</v>
      </c>
      <c r="M172" s="34">
        <v>46343.0</v>
      </c>
      <c r="N172" s="35">
        <v>46464.0</v>
      </c>
      <c r="O172" s="19" t="s">
        <v>1221</v>
      </c>
      <c r="P172" s="19" t="s">
        <v>1222</v>
      </c>
      <c r="Q172" s="12" t="str">
        <f t="shared" si="1"/>
        <v>https://ec.europa.eu/info/funding-tenders/opportunities/portal/screen/opportunities/topic-details/HORIZON-CL4-2027-04-DATA-03</v>
      </c>
    </row>
    <row r="173" ht="66.0" customHeight="1">
      <c r="A173" s="4" t="s">
        <v>17</v>
      </c>
      <c r="B173" s="4" t="s">
        <v>18</v>
      </c>
      <c r="C173" s="4" t="s">
        <v>19</v>
      </c>
      <c r="D173" s="5" t="s">
        <v>20</v>
      </c>
      <c r="E173" s="32" t="s">
        <v>1223</v>
      </c>
      <c r="F173" s="5" t="s">
        <v>1224</v>
      </c>
      <c r="G173" s="5" t="s">
        <v>1225</v>
      </c>
      <c r="H173" s="19"/>
      <c r="I173" s="19" t="s">
        <v>1226</v>
      </c>
      <c r="J173" s="19" t="s">
        <v>1227</v>
      </c>
      <c r="K173" s="18" t="s">
        <v>239</v>
      </c>
      <c r="L173" s="18" t="s">
        <v>28</v>
      </c>
      <c r="M173" s="34">
        <v>46343.0</v>
      </c>
      <c r="N173" s="35">
        <v>46464.0</v>
      </c>
      <c r="O173" s="19" t="s">
        <v>1228</v>
      </c>
      <c r="P173" s="19" t="s">
        <v>1229</v>
      </c>
      <c r="Q173" s="12" t="str">
        <f t="shared" si="1"/>
        <v>https://ec.europa.eu/info/funding-tenders/opportunities/portal/screen/opportunities/topic-details/HORIZON-CL4-2027-04-DATA-09</v>
      </c>
    </row>
    <row r="174" ht="66.0" customHeight="1">
      <c r="A174" s="4" t="s">
        <v>17</v>
      </c>
      <c r="B174" s="4" t="s">
        <v>18</v>
      </c>
      <c r="C174" s="4" t="s">
        <v>19</v>
      </c>
      <c r="D174" s="5" t="s">
        <v>20</v>
      </c>
      <c r="E174" s="32" t="s">
        <v>1230</v>
      </c>
      <c r="F174" s="5" t="s">
        <v>1231</v>
      </c>
      <c r="G174" s="5" t="s">
        <v>1232</v>
      </c>
      <c r="H174" s="19"/>
      <c r="I174" s="19" t="s">
        <v>965</v>
      </c>
      <c r="J174" s="19" t="s">
        <v>1233</v>
      </c>
      <c r="K174" s="18" t="s">
        <v>239</v>
      </c>
      <c r="L174" s="18" t="s">
        <v>28</v>
      </c>
      <c r="M174" s="34">
        <v>46037.0</v>
      </c>
      <c r="N174" s="35">
        <v>46127.0</v>
      </c>
      <c r="O174" s="19" t="s">
        <v>1234</v>
      </c>
      <c r="P174" s="19" t="s">
        <v>1235</v>
      </c>
      <c r="Q174" s="12" t="str">
        <f t="shared" si="1"/>
        <v>https://ec.europa.eu/info/funding-tenders/opportunities/portal/screen/opportunities/topic-details/HORIZON-CL4-2026-04-DATA-06</v>
      </c>
    </row>
    <row r="175" ht="66.0" customHeight="1">
      <c r="A175" s="4" t="s">
        <v>17</v>
      </c>
      <c r="B175" s="4" t="s">
        <v>18</v>
      </c>
      <c r="C175" s="4" t="s">
        <v>19</v>
      </c>
      <c r="D175" s="5" t="s">
        <v>20</v>
      </c>
      <c r="E175" s="32" t="s">
        <v>1236</v>
      </c>
      <c r="F175" s="5" t="s">
        <v>1237</v>
      </c>
      <c r="G175" s="5" t="s">
        <v>1238</v>
      </c>
      <c r="H175" s="19"/>
      <c r="I175" s="19" t="s">
        <v>965</v>
      </c>
      <c r="J175" s="19" t="s">
        <v>1239</v>
      </c>
      <c r="K175" s="18" t="s">
        <v>27</v>
      </c>
      <c r="L175" s="18" t="s">
        <v>28</v>
      </c>
      <c r="M175" s="34">
        <v>46037.0</v>
      </c>
      <c r="N175" s="35">
        <v>46127.0</v>
      </c>
      <c r="O175" s="19" t="s">
        <v>1240</v>
      </c>
      <c r="P175" s="19" t="s">
        <v>1241</v>
      </c>
      <c r="Q175" s="12" t="str">
        <f t="shared" si="1"/>
        <v>https://ec.europa.eu/info/funding-tenders/opportunities/portal/screen/opportunities/topic-details/HORIZON-CL4-2026-04-DIGITAL-EMERGING-01</v>
      </c>
    </row>
    <row r="176" ht="66.0" customHeight="1">
      <c r="A176" s="4" t="s">
        <v>17</v>
      </c>
      <c r="B176" s="4" t="s">
        <v>18</v>
      </c>
      <c r="C176" s="4" t="s">
        <v>19</v>
      </c>
      <c r="D176" s="5" t="s">
        <v>20</v>
      </c>
      <c r="E176" s="32" t="s">
        <v>1242</v>
      </c>
      <c r="F176" s="5" t="s">
        <v>1243</v>
      </c>
      <c r="G176" s="5" t="s">
        <v>1244</v>
      </c>
      <c r="H176" s="19"/>
      <c r="I176" s="19" t="s">
        <v>965</v>
      </c>
      <c r="J176" s="19" t="s">
        <v>1245</v>
      </c>
      <c r="K176" s="18" t="s">
        <v>27</v>
      </c>
      <c r="L176" s="18" t="s">
        <v>28</v>
      </c>
      <c r="M176" s="34">
        <v>46343.0</v>
      </c>
      <c r="N176" s="35">
        <v>46464.0</v>
      </c>
      <c r="O176" s="19" t="s">
        <v>1246</v>
      </c>
      <c r="P176" s="19" t="s">
        <v>1247</v>
      </c>
      <c r="Q176" s="12" t="str">
        <f t="shared" si="1"/>
        <v>https://ec.europa.eu/info/funding-tenders/opportunities/portal/screen/opportunities/topic-details/HORIZON-CL4-2027-04-DIGITAL-EMERGING-11</v>
      </c>
    </row>
    <row r="177" ht="66.0" customHeight="1">
      <c r="A177" s="4" t="s">
        <v>17</v>
      </c>
      <c r="B177" s="4" t="s">
        <v>18</v>
      </c>
      <c r="C177" s="4" t="s">
        <v>19</v>
      </c>
      <c r="D177" s="5" t="s">
        <v>20</v>
      </c>
      <c r="E177" s="32" t="s">
        <v>1248</v>
      </c>
      <c r="F177" s="5" t="s">
        <v>1249</v>
      </c>
      <c r="G177" s="5" t="s">
        <v>1250</v>
      </c>
      <c r="H177" s="19"/>
      <c r="I177" s="19" t="s">
        <v>965</v>
      </c>
      <c r="J177" s="19" t="s">
        <v>1251</v>
      </c>
      <c r="K177" s="18" t="s">
        <v>27</v>
      </c>
      <c r="L177" s="18" t="s">
        <v>28</v>
      </c>
      <c r="M177" s="34">
        <v>46037.0</v>
      </c>
      <c r="N177" s="35">
        <v>46127.0</v>
      </c>
      <c r="O177" s="19" t="s">
        <v>1252</v>
      </c>
      <c r="P177" s="19" t="s">
        <v>1253</v>
      </c>
      <c r="Q177" s="12" t="str">
        <f t="shared" si="1"/>
        <v>https://ec.europa.eu/info/funding-tenders/opportunities/portal/screen/opportunities/topic-details/HORIZON-CL4-2026-05-DIGITAL-EMERGING-02</v>
      </c>
    </row>
    <row r="178" ht="66.0" customHeight="1">
      <c r="A178" s="4" t="s">
        <v>17</v>
      </c>
      <c r="B178" s="4" t="s">
        <v>18</v>
      </c>
      <c r="C178" s="4" t="s">
        <v>19</v>
      </c>
      <c r="D178" s="5" t="s">
        <v>20</v>
      </c>
      <c r="E178" s="32" t="s">
        <v>1254</v>
      </c>
      <c r="F178" s="5" t="s">
        <v>1255</v>
      </c>
      <c r="G178" s="5" t="s">
        <v>1256</v>
      </c>
      <c r="H178" s="19"/>
      <c r="I178" s="19" t="s">
        <v>1257</v>
      </c>
      <c r="J178" s="19" t="s">
        <v>1258</v>
      </c>
      <c r="K178" s="18" t="s">
        <v>27</v>
      </c>
      <c r="L178" s="18" t="s">
        <v>28</v>
      </c>
      <c r="M178" s="34">
        <v>46343.0</v>
      </c>
      <c r="N178" s="35">
        <v>46464.0</v>
      </c>
      <c r="O178" s="19" t="s">
        <v>1259</v>
      </c>
      <c r="P178" s="19" t="s">
        <v>1260</v>
      </c>
      <c r="Q178" s="12" t="str">
        <f t="shared" si="1"/>
        <v>https://ec.europa.eu/info/funding-tenders/opportunities/portal/screen/opportunities/topic-details/HORIZON-CL4-2027-04-DIGITAL-EMERGING-04</v>
      </c>
    </row>
    <row r="179" ht="66.0" customHeight="1">
      <c r="A179" s="4" t="s">
        <v>17</v>
      </c>
      <c r="B179" s="4" t="s">
        <v>18</v>
      </c>
      <c r="C179" s="4" t="s">
        <v>19</v>
      </c>
      <c r="D179" s="5" t="s">
        <v>20</v>
      </c>
      <c r="E179" s="32" t="s">
        <v>1261</v>
      </c>
      <c r="F179" s="5" t="s">
        <v>1262</v>
      </c>
      <c r="G179" s="5" t="s">
        <v>1263</v>
      </c>
      <c r="H179" s="19"/>
      <c r="I179" s="19" t="s">
        <v>1257</v>
      </c>
      <c r="J179" s="19" t="s">
        <v>1264</v>
      </c>
      <c r="K179" s="18" t="s">
        <v>27</v>
      </c>
      <c r="L179" s="18" t="s">
        <v>28</v>
      </c>
      <c r="M179" s="34">
        <v>46037.0</v>
      </c>
      <c r="N179" s="35">
        <v>46127.0</v>
      </c>
      <c r="O179" s="19" t="s">
        <v>1265</v>
      </c>
      <c r="P179" s="19" t="s">
        <v>1266</v>
      </c>
      <c r="Q179" s="12" t="str">
        <f t="shared" si="1"/>
        <v>https://ec.europa.eu/info/funding-tenders/opportunities/portal/screen/opportunities/topic-details/HORIZON-CL4-2026-04-DIGITAL-EMERGING-19</v>
      </c>
    </row>
    <row r="180" ht="66.0" customHeight="1">
      <c r="A180" s="4" t="s">
        <v>17</v>
      </c>
      <c r="B180" s="4" t="s">
        <v>18</v>
      </c>
      <c r="C180" s="4" t="s">
        <v>19</v>
      </c>
      <c r="D180" s="5" t="s">
        <v>20</v>
      </c>
      <c r="E180" s="32" t="s">
        <v>1267</v>
      </c>
      <c r="F180" s="5" t="s">
        <v>1268</v>
      </c>
      <c r="G180" s="5" t="s">
        <v>1269</v>
      </c>
      <c r="H180" s="19"/>
      <c r="I180" s="19" t="s">
        <v>1270</v>
      </c>
      <c r="J180" s="19" t="s">
        <v>1271</v>
      </c>
      <c r="K180" s="18" t="s">
        <v>27</v>
      </c>
      <c r="L180" s="18" t="s">
        <v>28</v>
      </c>
      <c r="M180" s="34">
        <v>46037.0</v>
      </c>
      <c r="N180" s="35">
        <v>46127.0</v>
      </c>
      <c r="O180" s="19" t="s">
        <v>1272</v>
      </c>
      <c r="P180" s="19" t="s">
        <v>1273</v>
      </c>
      <c r="Q180" s="12" t="str">
        <f t="shared" si="1"/>
        <v>https://ec.europa.eu/info/funding-tenders/opportunities/portal/screen/opportunities/topic-details/HORIZON-CL4-2026-05-DIGITAL-EMERGING-03</v>
      </c>
    </row>
    <row r="181" ht="66.0" customHeight="1">
      <c r="A181" s="4" t="s">
        <v>17</v>
      </c>
      <c r="B181" s="4" t="s">
        <v>18</v>
      </c>
      <c r="C181" s="4" t="s">
        <v>19</v>
      </c>
      <c r="D181" s="5" t="s">
        <v>20</v>
      </c>
      <c r="E181" s="32" t="s">
        <v>1274</v>
      </c>
      <c r="F181" s="5" t="s">
        <v>1275</v>
      </c>
      <c r="G181" s="5" t="s">
        <v>1276</v>
      </c>
      <c r="H181" s="19"/>
      <c r="I181" s="19" t="s">
        <v>941</v>
      </c>
      <c r="J181" s="19" t="s">
        <v>1277</v>
      </c>
      <c r="K181" s="18" t="s">
        <v>239</v>
      </c>
      <c r="L181" s="18" t="s">
        <v>28</v>
      </c>
      <c r="M181" s="34">
        <v>46343.0</v>
      </c>
      <c r="N181" s="35">
        <v>46464.0</v>
      </c>
      <c r="O181" s="19" t="s">
        <v>1278</v>
      </c>
      <c r="P181" s="19" t="s">
        <v>1279</v>
      </c>
      <c r="Q181" s="12" t="str">
        <f t="shared" si="1"/>
        <v>https://ec.europa.eu/info/funding-tenders/opportunities/portal/screen/opportunities/topic-details/HORIZON-CL4-2027-04-DIGITAL-EMERGING-05</v>
      </c>
    </row>
    <row r="182" ht="66.0" customHeight="1">
      <c r="A182" s="4" t="s">
        <v>17</v>
      </c>
      <c r="B182" s="4" t="s">
        <v>18</v>
      </c>
      <c r="C182" s="4" t="s">
        <v>19</v>
      </c>
      <c r="D182" s="5" t="s">
        <v>20</v>
      </c>
      <c r="E182" s="32" t="s">
        <v>1280</v>
      </c>
      <c r="F182" s="5" t="s">
        <v>1281</v>
      </c>
      <c r="G182" s="5" t="s">
        <v>1282</v>
      </c>
      <c r="H182" s="19"/>
      <c r="I182" s="19" t="s">
        <v>1087</v>
      </c>
      <c r="J182" s="19" t="s">
        <v>1283</v>
      </c>
      <c r="K182" s="18" t="s">
        <v>27</v>
      </c>
      <c r="L182" s="18" t="s">
        <v>28</v>
      </c>
      <c r="M182" s="34">
        <v>46037.0</v>
      </c>
      <c r="N182" s="35">
        <v>46127.0</v>
      </c>
      <c r="O182" s="19" t="s">
        <v>1284</v>
      </c>
      <c r="P182" s="19" t="s">
        <v>1285</v>
      </c>
      <c r="Q182" s="12" t="str">
        <f t="shared" si="1"/>
        <v>https://ec.europa.eu/info/funding-tenders/opportunities/portal/screen/opportunities/topic-details/HORIZON-CL4-2026-04-DIGITAL-EMERGING-08</v>
      </c>
    </row>
    <row r="183" ht="66.0" customHeight="1">
      <c r="A183" s="4" t="s">
        <v>17</v>
      </c>
      <c r="B183" s="4" t="s">
        <v>18</v>
      </c>
      <c r="C183" s="4" t="s">
        <v>19</v>
      </c>
      <c r="D183" s="5" t="s">
        <v>20</v>
      </c>
      <c r="E183" s="32" t="s">
        <v>1286</v>
      </c>
      <c r="F183" s="5" t="s">
        <v>1287</v>
      </c>
      <c r="G183" s="5" t="s">
        <v>1288</v>
      </c>
      <c r="H183" s="19"/>
      <c r="I183" s="19" t="s">
        <v>1289</v>
      </c>
      <c r="J183" s="19" t="s">
        <v>1290</v>
      </c>
      <c r="K183" s="18" t="s">
        <v>239</v>
      </c>
      <c r="L183" s="18" t="s">
        <v>28</v>
      </c>
      <c r="M183" s="34">
        <v>46037.0</v>
      </c>
      <c r="N183" s="35">
        <v>46127.0</v>
      </c>
      <c r="O183" s="19" t="s">
        <v>1291</v>
      </c>
      <c r="P183" s="19" t="s">
        <v>1292</v>
      </c>
      <c r="Q183" s="12" t="str">
        <f t="shared" si="1"/>
        <v>https://ec.europa.eu/info/funding-tenders/opportunities/portal/screen/opportunities/topic-details/HORIZON-CL4-2026-04-DIGITAL-EMERGING-09</v>
      </c>
    </row>
    <row r="184" ht="66.0" customHeight="1">
      <c r="A184" s="4" t="s">
        <v>17</v>
      </c>
      <c r="B184" s="4" t="s">
        <v>18</v>
      </c>
      <c r="C184" s="4" t="s">
        <v>19</v>
      </c>
      <c r="D184" s="5" t="s">
        <v>20</v>
      </c>
      <c r="E184" s="32" t="s">
        <v>1293</v>
      </c>
      <c r="F184" s="5" t="s">
        <v>1294</v>
      </c>
      <c r="G184" s="5" t="s">
        <v>1295</v>
      </c>
      <c r="H184" s="19"/>
      <c r="I184" s="19" t="s">
        <v>1257</v>
      </c>
      <c r="J184" s="19" t="s">
        <v>1296</v>
      </c>
      <c r="K184" s="18" t="s">
        <v>239</v>
      </c>
      <c r="L184" s="18" t="s">
        <v>28</v>
      </c>
      <c r="M184" s="34">
        <v>46343.0</v>
      </c>
      <c r="N184" s="35">
        <v>46464.0</v>
      </c>
      <c r="O184" s="19" t="s">
        <v>1297</v>
      </c>
      <c r="P184" s="19" t="s">
        <v>1298</v>
      </c>
      <c r="Q184" s="12" t="str">
        <f t="shared" si="1"/>
        <v>https://ec.europa.eu/info/funding-tenders/opportunities/portal/screen/opportunities/topic-details/HORIZON-CL4-2027-04-DIGITAL-EMERGING-06</v>
      </c>
    </row>
    <row r="185" ht="66.0" customHeight="1">
      <c r="A185" s="4" t="s">
        <v>17</v>
      </c>
      <c r="B185" s="4" t="s">
        <v>18</v>
      </c>
      <c r="C185" s="4" t="s">
        <v>19</v>
      </c>
      <c r="D185" s="5" t="s">
        <v>20</v>
      </c>
      <c r="E185" s="32" t="s">
        <v>1299</v>
      </c>
      <c r="F185" s="5" t="s">
        <v>1300</v>
      </c>
      <c r="G185" s="5" t="s">
        <v>1301</v>
      </c>
      <c r="H185" s="19"/>
      <c r="I185" s="19" t="s">
        <v>1302</v>
      </c>
      <c r="J185" s="19" t="s">
        <v>1303</v>
      </c>
      <c r="K185" s="18" t="s">
        <v>39</v>
      </c>
      <c r="L185" s="18" t="s">
        <v>28</v>
      </c>
      <c r="M185" s="34">
        <v>46037.0</v>
      </c>
      <c r="N185" s="35">
        <v>46127.0</v>
      </c>
      <c r="O185" s="19" t="s">
        <v>1304</v>
      </c>
      <c r="P185" s="19" t="s">
        <v>1305</v>
      </c>
      <c r="Q185" s="12" t="str">
        <f t="shared" si="1"/>
        <v>https://ec.europa.eu/info/funding-tenders/opportunities/portal/screen/opportunities/topic-details/HORIZON-CL4-2026-04-DIGITAL-EMERGING-11</v>
      </c>
    </row>
    <row r="186" ht="66.0" customHeight="1">
      <c r="A186" s="4" t="s">
        <v>17</v>
      </c>
      <c r="B186" s="4" t="s">
        <v>18</v>
      </c>
      <c r="C186" s="4" t="s">
        <v>19</v>
      </c>
      <c r="D186" s="5" t="s">
        <v>20</v>
      </c>
      <c r="E186" s="32" t="s">
        <v>1306</v>
      </c>
      <c r="F186" s="5" t="s">
        <v>1307</v>
      </c>
      <c r="G186" s="5" t="s">
        <v>1308</v>
      </c>
      <c r="H186" s="19"/>
      <c r="I186" s="19" t="s">
        <v>1309</v>
      </c>
      <c r="J186" s="19" t="s">
        <v>1310</v>
      </c>
      <c r="K186" s="18" t="s">
        <v>39</v>
      </c>
      <c r="L186" s="18" t="s">
        <v>28</v>
      </c>
      <c r="M186" s="34">
        <v>46037.0</v>
      </c>
      <c r="N186" s="35">
        <v>46127.0</v>
      </c>
      <c r="O186" s="19" t="s">
        <v>1311</v>
      </c>
      <c r="P186" s="19" t="s">
        <v>1312</v>
      </c>
      <c r="Q186" s="12" t="str">
        <f t="shared" si="1"/>
        <v>https://ec.europa.eu/info/funding-tenders/opportunities/portal/screen/opportunities/topic-details/HORIZON-CL4-2026-04-DIGITAL-EMERGING-12</v>
      </c>
    </row>
    <row r="187" ht="66.0" customHeight="1">
      <c r="A187" s="4" t="s">
        <v>17</v>
      </c>
      <c r="B187" s="4" t="s">
        <v>18</v>
      </c>
      <c r="C187" s="4" t="s">
        <v>19</v>
      </c>
      <c r="D187" s="5" t="s">
        <v>20</v>
      </c>
      <c r="E187" s="32" t="s">
        <v>1313</v>
      </c>
      <c r="F187" s="5" t="s">
        <v>1314</v>
      </c>
      <c r="G187" s="5" t="s">
        <v>1315</v>
      </c>
      <c r="H187" s="19"/>
      <c r="I187" s="19" t="s">
        <v>1309</v>
      </c>
      <c r="J187" s="19" t="s">
        <v>1316</v>
      </c>
      <c r="K187" s="18" t="s">
        <v>27</v>
      </c>
      <c r="L187" s="18" t="s">
        <v>28</v>
      </c>
      <c r="M187" s="34">
        <v>46037.0</v>
      </c>
      <c r="N187" s="35">
        <v>46127.0</v>
      </c>
      <c r="O187" s="19" t="s">
        <v>1317</v>
      </c>
      <c r="P187" s="19" t="s">
        <v>1318</v>
      </c>
      <c r="Q187" s="12" t="str">
        <f t="shared" si="1"/>
        <v>https://ec.europa.eu/info/funding-tenders/opportunities/portal/screen/opportunities/topic-details/HORIZON-CL4-2026-04-DIGITAL-EMERGING-18</v>
      </c>
    </row>
    <row r="188" ht="66.0" customHeight="1">
      <c r="A188" s="4" t="s">
        <v>17</v>
      </c>
      <c r="B188" s="4" t="s">
        <v>18</v>
      </c>
      <c r="C188" s="4" t="s">
        <v>19</v>
      </c>
      <c r="D188" s="5" t="s">
        <v>20</v>
      </c>
      <c r="E188" s="32" t="s">
        <v>1319</v>
      </c>
      <c r="F188" s="5" t="s">
        <v>1320</v>
      </c>
      <c r="G188" s="5" t="s">
        <v>1321</v>
      </c>
      <c r="H188" s="19"/>
      <c r="I188" s="19" t="s">
        <v>1322</v>
      </c>
      <c r="J188" s="19" t="s">
        <v>1323</v>
      </c>
      <c r="K188" s="18" t="s">
        <v>27</v>
      </c>
      <c r="L188" s="18" t="s">
        <v>28</v>
      </c>
      <c r="M188" s="34">
        <v>46343.0</v>
      </c>
      <c r="N188" s="35">
        <v>46464.0</v>
      </c>
      <c r="O188" s="19" t="s">
        <v>1324</v>
      </c>
      <c r="P188" s="19" t="s">
        <v>1325</v>
      </c>
      <c r="Q188" s="12" t="str">
        <f t="shared" si="1"/>
        <v>https://ec.europa.eu/info/funding-tenders/opportunities/portal/screen/opportunities/topic-details/HORIZON-CL4-2027-05-DIGITAL-EMERGING-03</v>
      </c>
    </row>
    <row r="189" ht="66.0" customHeight="1">
      <c r="A189" s="4" t="s">
        <v>17</v>
      </c>
      <c r="B189" s="4" t="s">
        <v>18</v>
      </c>
      <c r="C189" s="4" t="s">
        <v>19</v>
      </c>
      <c r="D189" s="5" t="s">
        <v>20</v>
      </c>
      <c r="E189" s="32" t="s">
        <v>1326</v>
      </c>
      <c r="F189" s="5" t="s">
        <v>1327</v>
      </c>
      <c r="G189" s="5" t="s">
        <v>1328</v>
      </c>
      <c r="H189" s="19"/>
      <c r="I189" s="19" t="s">
        <v>1329</v>
      </c>
      <c r="J189" s="19" t="s">
        <v>1330</v>
      </c>
      <c r="K189" s="18" t="s">
        <v>39</v>
      </c>
      <c r="L189" s="18" t="s">
        <v>28</v>
      </c>
      <c r="M189" s="34">
        <v>46037.0</v>
      </c>
      <c r="N189" s="35">
        <v>46127.0</v>
      </c>
      <c r="O189" s="19" t="s">
        <v>1331</v>
      </c>
      <c r="P189" s="19" t="s">
        <v>1332</v>
      </c>
      <c r="Q189" s="12" t="str">
        <f t="shared" si="1"/>
        <v>https://ec.europa.eu/info/funding-tenders/opportunities/portal/screen/opportunities/topic-details/HORIZON-CL4-2026-04-DIGITAL-EMERGING-14</v>
      </c>
    </row>
    <row r="190" ht="66.0" customHeight="1">
      <c r="A190" s="4" t="s">
        <v>17</v>
      </c>
      <c r="B190" s="4" t="s">
        <v>18</v>
      </c>
      <c r="C190" s="4" t="s">
        <v>19</v>
      </c>
      <c r="D190" s="5" t="s">
        <v>20</v>
      </c>
      <c r="E190" s="32" t="s">
        <v>1333</v>
      </c>
      <c r="F190" s="5" t="s">
        <v>1334</v>
      </c>
      <c r="G190" s="5" t="s">
        <v>1335</v>
      </c>
      <c r="H190" s="19"/>
      <c r="I190" s="19" t="s">
        <v>1329</v>
      </c>
      <c r="J190" s="19" t="s">
        <v>1336</v>
      </c>
      <c r="K190" s="18" t="s">
        <v>39</v>
      </c>
      <c r="L190" s="18" t="s">
        <v>28</v>
      </c>
      <c r="M190" s="34">
        <v>46037.0</v>
      </c>
      <c r="N190" s="35">
        <v>46127.0</v>
      </c>
      <c r="O190" s="19" t="s">
        <v>1337</v>
      </c>
      <c r="P190" s="19" t="s">
        <v>1338</v>
      </c>
      <c r="Q190" s="12" t="str">
        <f t="shared" si="1"/>
        <v>https://ec.europa.eu/info/funding-tenders/opportunities/portal/screen/opportunities/topic-details/HORIZON-CL4-2026-04-DIGITAL-EMERGING-15</v>
      </c>
    </row>
    <row r="191" ht="66.0" customHeight="1">
      <c r="A191" s="4" t="s">
        <v>17</v>
      </c>
      <c r="B191" s="4" t="s">
        <v>18</v>
      </c>
      <c r="C191" s="4" t="s">
        <v>19</v>
      </c>
      <c r="D191" s="5" t="s">
        <v>20</v>
      </c>
      <c r="E191" s="32" t="s">
        <v>1339</v>
      </c>
      <c r="F191" s="5" t="s">
        <v>1340</v>
      </c>
      <c r="G191" s="5" t="s">
        <v>1341</v>
      </c>
      <c r="H191" s="19"/>
      <c r="I191" s="19" t="s">
        <v>576</v>
      </c>
      <c r="J191" s="19" t="s">
        <v>1342</v>
      </c>
      <c r="K191" s="18" t="s">
        <v>39</v>
      </c>
      <c r="L191" s="18" t="s">
        <v>28</v>
      </c>
      <c r="M191" s="34">
        <v>46343.0</v>
      </c>
      <c r="N191" s="35">
        <v>46464.0</v>
      </c>
      <c r="O191" s="19" t="s">
        <v>1343</v>
      </c>
      <c r="P191" s="19" t="s">
        <v>1344</v>
      </c>
      <c r="Q191" s="12" t="str">
        <f t="shared" si="1"/>
        <v>https://ec.europa.eu/info/funding-tenders/opportunities/portal/screen/opportunities/topic-details/HORIZON-CL4-2027-04-DIGITAL-EMERGING-10</v>
      </c>
    </row>
    <row r="192" ht="66.0" customHeight="1">
      <c r="A192" s="4" t="s">
        <v>17</v>
      </c>
      <c r="B192" s="4" t="s">
        <v>18</v>
      </c>
      <c r="C192" s="4" t="s">
        <v>19</v>
      </c>
      <c r="D192" s="5" t="s">
        <v>20</v>
      </c>
      <c r="E192" s="32" t="s">
        <v>1345</v>
      </c>
      <c r="F192" s="5" t="s">
        <v>1346</v>
      </c>
      <c r="G192" s="5" t="s">
        <v>1347</v>
      </c>
      <c r="H192" s="19"/>
      <c r="I192" s="19" t="s">
        <v>1348</v>
      </c>
      <c r="J192" s="19" t="s">
        <v>1349</v>
      </c>
      <c r="K192" s="18" t="s">
        <v>39</v>
      </c>
      <c r="L192" s="18" t="s">
        <v>28</v>
      </c>
      <c r="M192" s="34">
        <v>46037.0</v>
      </c>
      <c r="N192" s="35">
        <v>46127.0</v>
      </c>
      <c r="O192" s="19" t="s">
        <v>1350</v>
      </c>
      <c r="P192" s="19" t="s">
        <v>1351</v>
      </c>
      <c r="Q192" s="12" t="str">
        <f t="shared" si="1"/>
        <v>https://ec.europa.eu/info/funding-tenders/opportunities/portal/screen/opportunities/topic-details/HORIZON-CL4-2026-04-DIGITAL-EMERGING-17</v>
      </c>
    </row>
    <row r="193" ht="66.0" customHeight="1">
      <c r="A193" s="4" t="s">
        <v>17</v>
      </c>
      <c r="B193" s="4" t="s">
        <v>18</v>
      </c>
      <c r="C193" s="4" t="s">
        <v>19</v>
      </c>
      <c r="D193" s="5" t="s">
        <v>20</v>
      </c>
      <c r="E193" s="32" t="s">
        <v>1352</v>
      </c>
      <c r="F193" s="5" t="s">
        <v>1353</v>
      </c>
      <c r="G193" s="5" t="s">
        <v>1354</v>
      </c>
      <c r="H193" s="19"/>
      <c r="I193" s="19" t="s">
        <v>826</v>
      </c>
      <c r="J193" s="19" t="s">
        <v>1355</v>
      </c>
      <c r="K193" s="18" t="s">
        <v>27</v>
      </c>
      <c r="L193" s="18" t="s">
        <v>157</v>
      </c>
      <c r="M193" s="34">
        <v>46007.0</v>
      </c>
      <c r="N193" s="35" t="s">
        <v>1010</v>
      </c>
      <c r="O193" s="19" t="s">
        <v>1356</v>
      </c>
      <c r="P193" s="19" t="s">
        <v>1357</v>
      </c>
      <c r="Q193" s="12" t="str">
        <f t="shared" si="1"/>
        <v>https://ec.europa.eu/info/funding-tenders/opportunities/portal/screen/opportunities/topic-details/HORIZON-CL4-2026-02-DIGITAL-EMERGING-51-two-stage</v>
      </c>
    </row>
    <row r="194" ht="66.0" customHeight="1">
      <c r="A194" s="4" t="s">
        <v>17</v>
      </c>
      <c r="B194" s="4" t="s">
        <v>18</v>
      </c>
      <c r="C194" s="4" t="s">
        <v>19</v>
      </c>
      <c r="D194" s="5" t="s">
        <v>20</v>
      </c>
      <c r="E194" s="32" t="s">
        <v>1358</v>
      </c>
      <c r="F194" s="5" t="s">
        <v>1359</v>
      </c>
      <c r="G194" s="5" t="s">
        <v>1360</v>
      </c>
      <c r="H194" s="19"/>
      <c r="I194" s="19" t="s">
        <v>773</v>
      </c>
      <c r="J194" s="19" t="s">
        <v>1361</v>
      </c>
      <c r="K194" s="18" t="s">
        <v>27</v>
      </c>
      <c r="L194" s="18" t="s">
        <v>157</v>
      </c>
      <c r="M194" s="34">
        <v>46287.0</v>
      </c>
      <c r="N194" s="35" t="s">
        <v>1089</v>
      </c>
      <c r="O194" s="19" t="s">
        <v>1362</v>
      </c>
      <c r="P194" s="19" t="s">
        <v>1363</v>
      </c>
      <c r="Q194" s="12" t="str">
        <f t="shared" si="1"/>
        <v>https://ec.europa.eu/info/funding-tenders/opportunities/portal/screen/opportunities/topic-details/HORIZON-CL4-2027-02-DIGITAL-EMERGING-52-two-stage</v>
      </c>
    </row>
    <row r="195" ht="66.0" customHeight="1">
      <c r="A195" s="4" t="s">
        <v>17</v>
      </c>
      <c r="B195" s="4" t="s">
        <v>18</v>
      </c>
      <c r="C195" s="4" t="s">
        <v>19</v>
      </c>
      <c r="D195" s="5" t="s">
        <v>20</v>
      </c>
      <c r="E195" s="32" t="s">
        <v>1364</v>
      </c>
      <c r="F195" s="5" t="s">
        <v>1365</v>
      </c>
      <c r="G195" s="5" t="s">
        <v>1366</v>
      </c>
      <c r="H195" s="19"/>
      <c r="I195" s="19" t="s">
        <v>826</v>
      </c>
      <c r="J195" s="19" t="s">
        <v>1367</v>
      </c>
      <c r="K195" s="18" t="s">
        <v>27</v>
      </c>
      <c r="L195" s="18" t="s">
        <v>157</v>
      </c>
      <c r="M195" s="34">
        <v>46007.0</v>
      </c>
      <c r="N195" s="35" t="s">
        <v>1010</v>
      </c>
      <c r="O195" s="19" t="s">
        <v>1368</v>
      </c>
      <c r="P195" s="19" t="s">
        <v>1369</v>
      </c>
      <c r="Q195" s="12" t="str">
        <f t="shared" si="1"/>
        <v>https://ec.europa.eu/info/funding-tenders/opportunities/portal/screen/opportunities/topic-details/HORIZON-CL4-2026-02-DIGITAL-EMERGING-53-two-stage</v>
      </c>
    </row>
    <row r="196" ht="66.0" customHeight="1">
      <c r="A196" s="4" t="s">
        <v>17</v>
      </c>
      <c r="B196" s="4" t="s">
        <v>18</v>
      </c>
      <c r="C196" s="4" t="s">
        <v>19</v>
      </c>
      <c r="D196" s="5" t="s">
        <v>20</v>
      </c>
      <c r="E196" s="32" t="s">
        <v>1370</v>
      </c>
      <c r="F196" s="5" t="s">
        <v>1371</v>
      </c>
      <c r="G196" s="5" t="s">
        <v>1372</v>
      </c>
      <c r="H196" s="19"/>
      <c r="I196" s="19" t="s">
        <v>1054</v>
      </c>
      <c r="J196" s="19" t="s">
        <v>1373</v>
      </c>
      <c r="K196" s="18" t="s">
        <v>239</v>
      </c>
      <c r="L196" s="18" t="s">
        <v>28</v>
      </c>
      <c r="M196" s="34">
        <v>46091.0</v>
      </c>
      <c r="N196" s="35">
        <v>46268.0</v>
      </c>
      <c r="O196" s="19" t="s">
        <v>1374</v>
      </c>
      <c r="P196" s="19" t="s">
        <v>1375</v>
      </c>
      <c r="Q196" s="12" t="str">
        <f t="shared" si="1"/>
        <v>https://ec.europa.eu/info/funding-tenders/opportunities/portal/screen/opportunities/topic-details/HORIZON-CL4-2026-SPACE-03-11</v>
      </c>
    </row>
    <row r="197" ht="66.0" customHeight="1">
      <c r="A197" s="4" t="s">
        <v>17</v>
      </c>
      <c r="B197" s="4" t="s">
        <v>18</v>
      </c>
      <c r="C197" s="4" t="s">
        <v>19</v>
      </c>
      <c r="D197" s="5" t="s">
        <v>20</v>
      </c>
      <c r="E197" s="32" t="s">
        <v>1376</v>
      </c>
      <c r="F197" s="5" t="s">
        <v>1377</v>
      </c>
      <c r="G197" s="5" t="s">
        <v>1378</v>
      </c>
      <c r="H197" s="19"/>
      <c r="I197" s="19" t="s">
        <v>1226</v>
      </c>
      <c r="J197" s="19" t="s">
        <v>1379</v>
      </c>
      <c r="K197" s="18" t="s">
        <v>239</v>
      </c>
      <c r="L197" s="18" t="s">
        <v>28</v>
      </c>
      <c r="M197" s="34">
        <v>46455.0</v>
      </c>
      <c r="N197" s="35">
        <v>46632.0</v>
      </c>
      <c r="O197" s="19" t="s">
        <v>1380</v>
      </c>
      <c r="P197" s="19" t="s">
        <v>1381</v>
      </c>
      <c r="Q197" s="12" t="str">
        <f t="shared" si="1"/>
        <v>https://ec.europa.eu/info/funding-tenders/opportunities/portal/screen/opportunities/topic-details/HORIZON-CL4-2027-SPACE-03-12</v>
      </c>
    </row>
    <row r="198" ht="66.0" customHeight="1">
      <c r="A198" s="4" t="s">
        <v>17</v>
      </c>
      <c r="B198" s="4" t="s">
        <v>18</v>
      </c>
      <c r="C198" s="4" t="s">
        <v>19</v>
      </c>
      <c r="D198" s="5" t="s">
        <v>20</v>
      </c>
      <c r="E198" s="32" t="s">
        <v>1382</v>
      </c>
      <c r="F198" s="5" t="s">
        <v>1383</v>
      </c>
      <c r="G198" s="5" t="s">
        <v>1384</v>
      </c>
      <c r="H198" s="19"/>
      <c r="I198" s="19" t="s">
        <v>847</v>
      </c>
      <c r="J198" s="19" t="s">
        <v>1385</v>
      </c>
      <c r="K198" s="18" t="s">
        <v>27</v>
      </c>
      <c r="L198" s="18" t="s">
        <v>28</v>
      </c>
      <c r="M198" s="34">
        <v>46455.0</v>
      </c>
      <c r="N198" s="35">
        <v>46632.0</v>
      </c>
      <c r="O198" s="19" t="s">
        <v>1386</v>
      </c>
      <c r="P198" s="19" t="s">
        <v>1387</v>
      </c>
      <c r="Q198" s="12" t="str">
        <f t="shared" si="1"/>
        <v>https://ec.europa.eu/info/funding-tenders/opportunities/portal/screen/opportunities/topic-details/HORIZON-CL4-2027-SPACE-03-21</v>
      </c>
    </row>
    <row r="199" ht="66.0" customHeight="1">
      <c r="A199" s="4" t="s">
        <v>17</v>
      </c>
      <c r="B199" s="4" t="s">
        <v>18</v>
      </c>
      <c r="C199" s="4" t="s">
        <v>19</v>
      </c>
      <c r="D199" s="5" t="s">
        <v>20</v>
      </c>
      <c r="E199" s="32" t="s">
        <v>1388</v>
      </c>
      <c r="F199" s="5" t="s">
        <v>1389</v>
      </c>
      <c r="G199" s="5" t="s">
        <v>1390</v>
      </c>
      <c r="H199" s="19"/>
      <c r="I199" s="19" t="s">
        <v>1391</v>
      </c>
      <c r="J199" s="19" t="s">
        <v>1392</v>
      </c>
      <c r="K199" s="18" t="s">
        <v>27</v>
      </c>
      <c r="L199" s="18" t="s">
        <v>28</v>
      </c>
      <c r="M199" s="34">
        <v>46091.0</v>
      </c>
      <c r="N199" s="35">
        <v>46268.0</v>
      </c>
      <c r="O199" s="19" t="s">
        <v>1393</v>
      </c>
      <c r="P199" s="19" t="s">
        <v>1394</v>
      </c>
      <c r="Q199" s="12" t="str">
        <f t="shared" si="1"/>
        <v>https://ec.europa.eu/info/funding-tenders/opportunities/portal/screen/opportunities/topic-details/HORIZON-CL4-2026-SPACE-03-31</v>
      </c>
    </row>
    <row r="200" ht="66.0" customHeight="1">
      <c r="A200" s="4" t="s">
        <v>17</v>
      </c>
      <c r="B200" s="4" t="s">
        <v>18</v>
      </c>
      <c r="C200" s="4" t="s">
        <v>19</v>
      </c>
      <c r="D200" s="5" t="s">
        <v>20</v>
      </c>
      <c r="E200" s="32" t="s">
        <v>1395</v>
      </c>
      <c r="F200" s="5" t="s">
        <v>1396</v>
      </c>
      <c r="G200" s="5" t="s">
        <v>1397</v>
      </c>
      <c r="H200" s="19"/>
      <c r="I200" s="19" t="s">
        <v>1289</v>
      </c>
      <c r="J200" s="19" t="s">
        <v>1398</v>
      </c>
      <c r="K200" s="18" t="s">
        <v>239</v>
      </c>
      <c r="L200" s="18" t="s">
        <v>28</v>
      </c>
      <c r="M200" s="34">
        <v>46091.0</v>
      </c>
      <c r="N200" s="35">
        <v>46268.0</v>
      </c>
      <c r="O200" s="19" t="s">
        <v>1399</v>
      </c>
      <c r="P200" s="19" t="s">
        <v>1400</v>
      </c>
      <c r="Q200" s="12" t="str">
        <f t="shared" si="1"/>
        <v>https://ec.europa.eu/info/funding-tenders/opportunities/portal/screen/opportunities/topic-details/HORIZON-CL4-2026-SPACE-03-32</v>
      </c>
    </row>
    <row r="201" ht="66.0" customHeight="1">
      <c r="A201" s="4" t="s">
        <v>17</v>
      </c>
      <c r="B201" s="4" t="s">
        <v>18</v>
      </c>
      <c r="C201" s="4" t="s">
        <v>19</v>
      </c>
      <c r="D201" s="5" t="s">
        <v>20</v>
      </c>
      <c r="E201" s="32" t="s">
        <v>1401</v>
      </c>
      <c r="F201" s="5" t="s">
        <v>1402</v>
      </c>
      <c r="G201" s="5" t="s">
        <v>1403</v>
      </c>
      <c r="H201" s="19"/>
      <c r="I201" s="19" t="s">
        <v>941</v>
      </c>
      <c r="J201" s="19" t="s">
        <v>1404</v>
      </c>
      <c r="K201" s="18" t="s">
        <v>27</v>
      </c>
      <c r="L201" s="18" t="s">
        <v>28</v>
      </c>
      <c r="M201" s="34">
        <v>46455.0</v>
      </c>
      <c r="N201" s="35">
        <v>46632.0</v>
      </c>
      <c r="O201" s="19" t="s">
        <v>1405</v>
      </c>
      <c r="P201" s="19" t="s">
        <v>1406</v>
      </c>
      <c r="Q201" s="12" t="str">
        <f t="shared" si="1"/>
        <v>https://ec.europa.eu/info/funding-tenders/opportunities/portal/screen/opportunities/topic-details/HORIZON-CL4-2027-SPACE-03-33</v>
      </c>
    </row>
    <row r="202" ht="66.0" customHeight="1">
      <c r="A202" s="4" t="s">
        <v>17</v>
      </c>
      <c r="B202" s="4" t="s">
        <v>18</v>
      </c>
      <c r="C202" s="4" t="s">
        <v>19</v>
      </c>
      <c r="D202" s="5" t="s">
        <v>20</v>
      </c>
      <c r="E202" s="32" t="s">
        <v>1407</v>
      </c>
      <c r="F202" s="5" t="s">
        <v>1408</v>
      </c>
      <c r="G202" s="5" t="s">
        <v>1409</v>
      </c>
      <c r="H202" s="19"/>
      <c r="I202" s="19" t="s">
        <v>787</v>
      </c>
      <c r="J202" s="19" t="s">
        <v>1410</v>
      </c>
      <c r="K202" s="18" t="s">
        <v>239</v>
      </c>
      <c r="L202" s="18" t="s">
        <v>28</v>
      </c>
      <c r="M202" s="34">
        <v>46455.0</v>
      </c>
      <c r="N202" s="35">
        <v>46632.0</v>
      </c>
      <c r="O202" s="19" t="s">
        <v>1411</v>
      </c>
      <c r="P202" s="19" t="s">
        <v>1412</v>
      </c>
      <c r="Q202" s="12" t="str">
        <f t="shared" si="1"/>
        <v>https://ec.europa.eu/info/funding-tenders/opportunities/portal/screen/opportunities/topic-details/HORIZON-CL4-2027-SPACE-03-34</v>
      </c>
    </row>
    <row r="203" ht="66.0" customHeight="1">
      <c r="A203" s="4" t="s">
        <v>17</v>
      </c>
      <c r="B203" s="4" t="s">
        <v>18</v>
      </c>
      <c r="C203" s="4" t="s">
        <v>19</v>
      </c>
      <c r="D203" s="5" t="s">
        <v>20</v>
      </c>
      <c r="E203" s="32" t="s">
        <v>1413</v>
      </c>
      <c r="F203" s="5" t="s">
        <v>1414</v>
      </c>
      <c r="G203" s="5" t="s">
        <v>1415</v>
      </c>
      <c r="H203" s="19"/>
      <c r="I203" s="19" t="s">
        <v>1416</v>
      </c>
      <c r="J203" s="19" t="s">
        <v>1417</v>
      </c>
      <c r="K203" s="18" t="s">
        <v>27</v>
      </c>
      <c r="L203" s="18" t="s">
        <v>28</v>
      </c>
      <c r="M203" s="34">
        <v>46091.0</v>
      </c>
      <c r="N203" s="35">
        <v>46268.0</v>
      </c>
      <c r="O203" s="19" t="s">
        <v>1418</v>
      </c>
      <c r="P203" s="19" t="s">
        <v>1419</v>
      </c>
      <c r="Q203" s="12" t="str">
        <f t="shared" si="1"/>
        <v>https://ec.europa.eu/info/funding-tenders/opportunities/portal/screen/opportunities/topic-details/HORIZON-CL4-2026-SPACE-03-61</v>
      </c>
    </row>
    <row r="204" ht="66.0" customHeight="1">
      <c r="A204" s="4" t="s">
        <v>17</v>
      </c>
      <c r="B204" s="4" t="s">
        <v>18</v>
      </c>
      <c r="C204" s="4" t="s">
        <v>19</v>
      </c>
      <c r="D204" s="5" t="s">
        <v>20</v>
      </c>
      <c r="E204" s="32" t="s">
        <v>1420</v>
      </c>
      <c r="F204" s="5" t="s">
        <v>1421</v>
      </c>
      <c r="G204" s="5" t="s">
        <v>1422</v>
      </c>
      <c r="H204" s="19"/>
      <c r="I204" s="19" t="s">
        <v>847</v>
      </c>
      <c r="J204" s="19" t="s">
        <v>1423</v>
      </c>
      <c r="K204" s="18" t="s">
        <v>27</v>
      </c>
      <c r="L204" s="18" t="s">
        <v>28</v>
      </c>
      <c r="M204" s="34">
        <v>46091.0</v>
      </c>
      <c r="N204" s="35">
        <v>46268.0</v>
      </c>
      <c r="O204" s="19" t="s">
        <v>1424</v>
      </c>
      <c r="P204" s="19" t="s">
        <v>1425</v>
      </c>
      <c r="Q204" s="12" t="str">
        <f t="shared" si="1"/>
        <v>https://ec.europa.eu/info/funding-tenders/opportunities/portal/screen/opportunities/topic-details/HORIZON-CL4-2026-SPACE-03-81</v>
      </c>
    </row>
    <row r="205" ht="66.0" customHeight="1">
      <c r="A205" s="4" t="s">
        <v>17</v>
      </c>
      <c r="B205" s="4" t="s">
        <v>18</v>
      </c>
      <c r="C205" s="4" t="s">
        <v>19</v>
      </c>
      <c r="D205" s="5" t="s">
        <v>20</v>
      </c>
      <c r="E205" s="32" t="s">
        <v>1426</v>
      </c>
      <c r="F205" s="5" t="s">
        <v>1427</v>
      </c>
      <c r="G205" s="5" t="s">
        <v>1428</v>
      </c>
      <c r="H205" s="19"/>
      <c r="I205" s="19" t="s">
        <v>1429</v>
      </c>
      <c r="J205" s="19" t="s">
        <v>1430</v>
      </c>
      <c r="K205" s="18" t="s">
        <v>27</v>
      </c>
      <c r="L205" s="18" t="s">
        <v>28</v>
      </c>
      <c r="M205" s="34">
        <v>46091.0</v>
      </c>
      <c r="N205" s="35">
        <v>46268.0</v>
      </c>
      <c r="O205" s="19" t="s">
        <v>1431</v>
      </c>
      <c r="P205" s="19" t="s">
        <v>1432</v>
      </c>
      <c r="Q205" s="12" t="str">
        <f t="shared" si="1"/>
        <v>https://ec.europa.eu/info/funding-tenders/opportunities/portal/screen/opportunities/topic-details/HORIZON-CL4-2026-SPACE-03-82</v>
      </c>
    </row>
    <row r="206" ht="66.0" customHeight="1">
      <c r="A206" s="4" t="s">
        <v>17</v>
      </c>
      <c r="B206" s="4" t="s">
        <v>18</v>
      </c>
      <c r="C206" s="4" t="s">
        <v>19</v>
      </c>
      <c r="D206" s="5" t="s">
        <v>20</v>
      </c>
      <c r="E206" s="32" t="s">
        <v>1433</v>
      </c>
      <c r="F206" s="5" t="s">
        <v>1434</v>
      </c>
      <c r="G206" s="5" t="s">
        <v>1435</v>
      </c>
      <c r="H206" s="19"/>
      <c r="I206" s="19" t="s">
        <v>1436</v>
      </c>
      <c r="J206" s="19" t="s">
        <v>1437</v>
      </c>
      <c r="K206" s="18" t="s">
        <v>239</v>
      </c>
      <c r="L206" s="18" t="s">
        <v>28</v>
      </c>
      <c r="M206" s="34">
        <v>46091.0</v>
      </c>
      <c r="N206" s="35">
        <v>46268.0</v>
      </c>
      <c r="O206" s="19" t="s">
        <v>1438</v>
      </c>
      <c r="P206" s="19" t="s">
        <v>1439</v>
      </c>
      <c r="Q206" s="12" t="str">
        <f t="shared" si="1"/>
        <v>https://ec.europa.eu/info/funding-tenders/opportunities/portal/screen/opportunities/topic-details/HORIZON-CL4-2026-SPACE-03-85</v>
      </c>
    </row>
    <row r="207" ht="66.0" customHeight="1">
      <c r="A207" s="4" t="s">
        <v>17</v>
      </c>
      <c r="B207" s="4" t="s">
        <v>18</v>
      </c>
      <c r="C207" s="4" t="s">
        <v>19</v>
      </c>
      <c r="D207" s="5" t="s">
        <v>20</v>
      </c>
      <c r="E207" s="32" t="s">
        <v>1440</v>
      </c>
      <c r="F207" s="5" t="s">
        <v>1441</v>
      </c>
      <c r="G207" s="5" t="s">
        <v>1442</v>
      </c>
      <c r="H207" s="19"/>
      <c r="I207" s="19" t="s">
        <v>1087</v>
      </c>
      <c r="J207" s="19" t="s">
        <v>1443</v>
      </c>
      <c r="K207" s="18" t="s">
        <v>27</v>
      </c>
      <c r="L207" s="18" t="s">
        <v>28</v>
      </c>
      <c r="M207" s="34">
        <v>46091.0</v>
      </c>
      <c r="N207" s="35">
        <v>46268.0</v>
      </c>
      <c r="O207" s="19" t="s">
        <v>1444</v>
      </c>
      <c r="P207" s="19" t="s">
        <v>1445</v>
      </c>
      <c r="Q207" s="12" t="str">
        <f t="shared" si="1"/>
        <v>https://ec.europa.eu/info/funding-tenders/opportunities/portal/screen/opportunities/topic-details/HORIZON-CL4-2026-SPACE-03-86</v>
      </c>
    </row>
    <row r="208" ht="66.0" customHeight="1">
      <c r="A208" s="4" t="s">
        <v>17</v>
      </c>
      <c r="B208" s="4" t="s">
        <v>18</v>
      </c>
      <c r="C208" s="4" t="s">
        <v>19</v>
      </c>
      <c r="D208" s="5" t="s">
        <v>20</v>
      </c>
      <c r="E208" s="32" t="s">
        <v>1446</v>
      </c>
      <c r="F208" s="5" t="s">
        <v>1447</v>
      </c>
      <c r="G208" s="5" t="s">
        <v>1448</v>
      </c>
      <c r="H208" s="19"/>
      <c r="I208" s="19" t="s">
        <v>1322</v>
      </c>
      <c r="J208" s="19" t="s">
        <v>1449</v>
      </c>
      <c r="K208" s="18" t="s">
        <v>27</v>
      </c>
      <c r="L208" s="18" t="s">
        <v>28</v>
      </c>
      <c r="M208" s="34">
        <v>46455.0</v>
      </c>
      <c r="N208" s="35">
        <v>46632.0</v>
      </c>
      <c r="O208" s="19" t="s">
        <v>1450</v>
      </c>
      <c r="P208" s="19" t="s">
        <v>1451</v>
      </c>
      <c r="Q208" s="12" t="str">
        <f t="shared" si="1"/>
        <v>https://ec.europa.eu/info/funding-tenders/opportunities/portal/screen/opportunities/topic-details/HORIZON-CL4-2027-SPACE-03-83</v>
      </c>
    </row>
    <row r="209" ht="66.0" customHeight="1">
      <c r="A209" s="4" t="s">
        <v>17</v>
      </c>
      <c r="B209" s="4" t="s">
        <v>18</v>
      </c>
      <c r="C209" s="4" t="s">
        <v>19</v>
      </c>
      <c r="D209" s="5" t="s">
        <v>20</v>
      </c>
      <c r="E209" s="32" t="s">
        <v>1452</v>
      </c>
      <c r="F209" s="5" t="s">
        <v>1453</v>
      </c>
      <c r="G209" s="5" t="s">
        <v>1454</v>
      </c>
      <c r="H209" s="19"/>
      <c r="I209" s="19" t="s">
        <v>1087</v>
      </c>
      <c r="J209" s="19" t="s">
        <v>1455</v>
      </c>
      <c r="K209" s="18" t="s">
        <v>27</v>
      </c>
      <c r="L209" s="18" t="s">
        <v>28</v>
      </c>
      <c r="M209" s="34">
        <v>46455.0</v>
      </c>
      <c r="N209" s="35">
        <v>46632.0</v>
      </c>
      <c r="O209" s="19" t="s">
        <v>1456</v>
      </c>
      <c r="P209" s="19" t="s">
        <v>1457</v>
      </c>
      <c r="Q209" s="12" t="str">
        <f t="shared" si="1"/>
        <v>https://ec.europa.eu/info/funding-tenders/opportunities/portal/screen/opportunities/topic-details/HORIZON-CL4-2027-SPACE-03-84</v>
      </c>
    </row>
    <row r="210" ht="66.0" customHeight="1">
      <c r="A210" s="4" t="s">
        <v>17</v>
      </c>
      <c r="B210" s="4" t="s">
        <v>18</v>
      </c>
      <c r="C210" s="4" t="s">
        <v>19</v>
      </c>
      <c r="D210" s="5" t="s">
        <v>20</v>
      </c>
      <c r="E210" s="32" t="s">
        <v>1458</v>
      </c>
      <c r="F210" s="5" t="s">
        <v>1459</v>
      </c>
      <c r="G210" s="5" t="s">
        <v>1460</v>
      </c>
      <c r="H210" s="19"/>
      <c r="I210" s="19" t="s">
        <v>1461</v>
      </c>
      <c r="J210" s="19" t="s">
        <v>1462</v>
      </c>
      <c r="K210" s="18" t="s">
        <v>27</v>
      </c>
      <c r="L210" s="18" t="s">
        <v>28</v>
      </c>
      <c r="M210" s="34">
        <v>46455.0</v>
      </c>
      <c r="N210" s="35">
        <v>46632.0</v>
      </c>
      <c r="O210" s="19" t="s">
        <v>1463</v>
      </c>
      <c r="P210" s="19" t="s">
        <v>1464</v>
      </c>
      <c r="Q210" s="12" t="str">
        <f t="shared" si="1"/>
        <v>https://ec.europa.eu/info/funding-tenders/opportunities/portal/screen/opportunities/topic-details/HORIZON-CL4-2027-SPACE-03-71</v>
      </c>
    </row>
    <row r="211" ht="66.0" customHeight="1">
      <c r="A211" s="4" t="s">
        <v>17</v>
      </c>
      <c r="B211" s="4" t="s">
        <v>18</v>
      </c>
      <c r="C211" s="4" t="s">
        <v>19</v>
      </c>
      <c r="D211" s="5" t="s">
        <v>20</v>
      </c>
      <c r="E211" s="32" t="s">
        <v>1465</v>
      </c>
      <c r="F211" s="5" t="s">
        <v>1466</v>
      </c>
      <c r="G211" s="5" t="s">
        <v>1467</v>
      </c>
      <c r="H211" s="19"/>
      <c r="I211" s="19" t="s">
        <v>812</v>
      </c>
      <c r="J211" s="19" t="s">
        <v>1468</v>
      </c>
      <c r="K211" s="18" t="s">
        <v>239</v>
      </c>
      <c r="L211" s="18" t="s">
        <v>28</v>
      </c>
      <c r="M211" s="34">
        <v>46037.0</v>
      </c>
      <c r="N211" s="35">
        <v>46127.0</v>
      </c>
      <c r="O211" s="19" t="s">
        <v>1469</v>
      </c>
      <c r="P211" s="19" t="s">
        <v>1470</v>
      </c>
      <c r="Q211" s="12" t="str">
        <f t="shared" si="1"/>
        <v>https://ec.europa.eu/info/funding-tenders/opportunities/portal/screen/opportunities/topic-details/HORIZON-CL4-2026-04-HUMAN-01</v>
      </c>
    </row>
    <row r="212" ht="66.0" customHeight="1">
      <c r="A212" s="4" t="s">
        <v>17</v>
      </c>
      <c r="B212" s="4" t="s">
        <v>18</v>
      </c>
      <c r="C212" s="4" t="s">
        <v>19</v>
      </c>
      <c r="D212" s="5" t="s">
        <v>20</v>
      </c>
      <c r="E212" s="32" t="s">
        <v>1471</v>
      </c>
      <c r="F212" s="5" t="s">
        <v>1472</v>
      </c>
      <c r="G212" s="5" t="s">
        <v>1473</v>
      </c>
      <c r="H212" s="19"/>
      <c r="I212" s="19" t="s">
        <v>1257</v>
      </c>
      <c r="J212" s="19" t="s">
        <v>1474</v>
      </c>
      <c r="K212" s="18" t="s">
        <v>27</v>
      </c>
      <c r="L212" s="18" t="s">
        <v>28</v>
      </c>
      <c r="M212" s="34">
        <v>46037.0</v>
      </c>
      <c r="N212" s="35">
        <v>46127.0</v>
      </c>
      <c r="O212" s="19" t="s">
        <v>1475</v>
      </c>
      <c r="P212" s="19" t="s">
        <v>1476</v>
      </c>
      <c r="Q212" s="12" t="str">
        <f t="shared" si="1"/>
        <v>https://ec.europa.eu/info/funding-tenders/opportunities/portal/screen/opportunities/topic-details/HORIZON-CL4-2026-04-HUMAN-02</v>
      </c>
    </row>
    <row r="213" ht="66.0" customHeight="1">
      <c r="A213" s="4" t="s">
        <v>17</v>
      </c>
      <c r="B213" s="4" t="s">
        <v>18</v>
      </c>
      <c r="C213" s="4" t="s">
        <v>19</v>
      </c>
      <c r="D213" s="5" t="s">
        <v>20</v>
      </c>
      <c r="E213" s="32" t="s">
        <v>1477</v>
      </c>
      <c r="F213" s="5" t="s">
        <v>1478</v>
      </c>
      <c r="G213" s="5" t="s">
        <v>1479</v>
      </c>
      <c r="H213" s="19" t="s">
        <v>1480</v>
      </c>
      <c r="I213" s="19" t="s">
        <v>941</v>
      </c>
      <c r="J213" s="19" t="s">
        <v>1481</v>
      </c>
      <c r="K213" s="18" t="s">
        <v>27</v>
      </c>
      <c r="L213" s="18" t="s">
        <v>28</v>
      </c>
      <c r="M213" s="34">
        <v>46343.0</v>
      </c>
      <c r="N213" s="35">
        <v>46464.0</v>
      </c>
      <c r="O213" s="19" t="s">
        <v>1482</v>
      </c>
      <c r="P213" s="19" t="s">
        <v>1483</v>
      </c>
      <c r="Q213" s="12" t="str">
        <f t="shared" si="1"/>
        <v>https://ec.europa.eu/info/funding-tenders/opportunities/portal/screen/opportunities/topic-details/HORIZON-CL4-2027-04-HUMAN-01</v>
      </c>
    </row>
    <row r="214" ht="66.0" customHeight="1">
      <c r="A214" s="4" t="s">
        <v>17</v>
      </c>
      <c r="B214" s="4" t="s">
        <v>18</v>
      </c>
      <c r="C214" s="4" t="s">
        <v>19</v>
      </c>
      <c r="D214" s="5" t="s">
        <v>20</v>
      </c>
      <c r="E214" s="32" t="s">
        <v>1484</v>
      </c>
      <c r="F214" s="5" t="s">
        <v>1485</v>
      </c>
      <c r="G214" s="5" t="s">
        <v>1486</v>
      </c>
      <c r="H214" s="19" t="s">
        <v>1487</v>
      </c>
      <c r="I214" s="19" t="s">
        <v>576</v>
      </c>
      <c r="J214" s="19" t="s">
        <v>1488</v>
      </c>
      <c r="K214" s="18" t="s">
        <v>39</v>
      </c>
      <c r="L214" s="18" t="s">
        <v>28</v>
      </c>
      <c r="M214" s="34">
        <v>46343.0</v>
      </c>
      <c r="N214" s="35">
        <v>46464.0</v>
      </c>
      <c r="O214" s="19" t="s">
        <v>1489</v>
      </c>
      <c r="P214" s="19" t="s">
        <v>1490</v>
      </c>
      <c r="Q214" s="12" t="str">
        <f t="shared" si="1"/>
        <v>https://ec.europa.eu/info/funding-tenders/opportunities/portal/screen/opportunities/topic-details/HORIZON-CL4-2027-04-HUMAN-02</v>
      </c>
    </row>
    <row r="215" ht="66.0" customHeight="1">
      <c r="A215" s="4" t="s">
        <v>17</v>
      </c>
      <c r="B215" s="4" t="s">
        <v>18</v>
      </c>
      <c r="C215" s="4" t="s">
        <v>19</v>
      </c>
      <c r="D215" s="5" t="s">
        <v>20</v>
      </c>
      <c r="E215" s="32" t="s">
        <v>1491</v>
      </c>
      <c r="F215" s="5" t="s">
        <v>1492</v>
      </c>
      <c r="G215" s="5" t="s">
        <v>1493</v>
      </c>
      <c r="H215" s="19" t="s">
        <v>1494</v>
      </c>
      <c r="I215" s="19" t="s">
        <v>576</v>
      </c>
      <c r="J215" s="19" t="s">
        <v>1495</v>
      </c>
      <c r="K215" s="18" t="s">
        <v>39</v>
      </c>
      <c r="L215" s="18" t="s">
        <v>28</v>
      </c>
      <c r="M215" s="34">
        <v>46343.0</v>
      </c>
      <c r="N215" s="35">
        <v>46464.0</v>
      </c>
      <c r="O215" s="19" t="s">
        <v>1496</v>
      </c>
      <c r="P215" s="19" t="s">
        <v>1497</v>
      </c>
      <c r="Q215" s="12" t="str">
        <f t="shared" si="1"/>
        <v>https://ec.europa.eu/info/funding-tenders/opportunities/portal/screen/opportunities/topic-details/HORIZON-CL4-2027-04-HUMAN-07</v>
      </c>
    </row>
    <row r="216" ht="66.0" customHeight="1">
      <c r="A216" s="4" t="s">
        <v>17</v>
      </c>
      <c r="B216" s="4" t="s">
        <v>18</v>
      </c>
      <c r="C216" s="4" t="s">
        <v>19</v>
      </c>
      <c r="D216" s="5" t="s">
        <v>1498</v>
      </c>
      <c r="E216" s="32" t="s">
        <v>1499</v>
      </c>
      <c r="F216" s="5" t="s">
        <v>1500</v>
      </c>
      <c r="G216" s="5" t="s">
        <v>1501</v>
      </c>
      <c r="H216" s="19"/>
      <c r="I216" s="19" t="s">
        <v>1156</v>
      </c>
      <c r="J216" s="19" t="s">
        <v>1502</v>
      </c>
      <c r="K216" s="18" t="s">
        <v>27</v>
      </c>
      <c r="L216" s="18" t="s">
        <v>28</v>
      </c>
      <c r="M216" s="34">
        <v>46009.0</v>
      </c>
      <c r="N216" s="35">
        <v>46127.0</v>
      </c>
      <c r="O216" s="19" t="s">
        <v>1503</v>
      </c>
      <c r="P216" s="19" t="s">
        <v>1504</v>
      </c>
      <c r="Q216" s="12" t="str">
        <f t="shared" si="1"/>
        <v>https://ec.europa.eu/info/funding-tenders/opportunities/portal/screen/opportunities/topic-details/HORIZON-CL5-2026-07-D1-01</v>
      </c>
    </row>
    <row r="217" ht="66.0" customHeight="1">
      <c r="A217" s="4" t="s">
        <v>17</v>
      </c>
      <c r="B217" s="4" t="s">
        <v>18</v>
      </c>
      <c r="C217" s="4" t="s">
        <v>19</v>
      </c>
      <c r="D217" s="5" t="s">
        <v>1498</v>
      </c>
      <c r="E217" s="32" t="s">
        <v>1505</v>
      </c>
      <c r="F217" s="5" t="s">
        <v>1506</v>
      </c>
      <c r="G217" s="5" t="s">
        <v>1507</v>
      </c>
      <c r="H217" s="19"/>
      <c r="I217" s="19" t="s">
        <v>888</v>
      </c>
      <c r="J217" s="19" t="s">
        <v>1508</v>
      </c>
      <c r="K217" s="18" t="s">
        <v>27</v>
      </c>
      <c r="L217" s="18" t="s">
        <v>28</v>
      </c>
      <c r="M217" s="34">
        <v>46009.0</v>
      </c>
      <c r="N217" s="35">
        <v>46127.0</v>
      </c>
      <c r="O217" s="19" t="s">
        <v>1509</v>
      </c>
      <c r="P217" s="19" t="s">
        <v>1510</v>
      </c>
      <c r="Q217" s="12" t="str">
        <f t="shared" si="1"/>
        <v>https://ec.europa.eu/info/funding-tenders/opportunities/portal/screen/opportunities/topic-details/HORIZON-CL5-2026-07-D1-02</v>
      </c>
    </row>
    <row r="218" ht="66.0" customHeight="1">
      <c r="A218" s="4" t="s">
        <v>17</v>
      </c>
      <c r="B218" s="4" t="s">
        <v>18</v>
      </c>
      <c r="C218" s="4" t="s">
        <v>19</v>
      </c>
      <c r="D218" s="5" t="s">
        <v>1498</v>
      </c>
      <c r="E218" s="32" t="s">
        <v>1511</v>
      </c>
      <c r="F218" s="5" t="s">
        <v>1512</v>
      </c>
      <c r="G218" s="5" t="s">
        <v>1513</v>
      </c>
      <c r="H218" s="19" t="s">
        <v>1514</v>
      </c>
      <c r="I218" s="19" t="s">
        <v>1515</v>
      </c>
      <c r="J218" s="19" t="s">
        <v>1516</v>
      </c>
      <c r="K218" s="18" t="s">
        <v>27</v>
      </c>
      <c r="L218" s="18" t="s">
        <v>28</v>
      </c>
      <c r="M218" s="34">
        <v>46009.0</v>
      </c>
      <c r="N218" s="35">
        <v>46127.0</v>
      </c>
      <c r="O218" s="19" t="s">
        <v>1517</v>
      </c>
      <c r="P218" s="19" t="s">
        <v>1518</v>
      </c>
      <c r="Q218" s="12" t="str">
        <f t="shared" si="1"/>
        <v>https://ec.europa.eu/info/funding-tenders/opportunities/portal/screen/opportunities/topic-details/HORIZON-CL5-2026-07-D1-03</v>
      </c>
    </row>
    <row r="219" ht="66.0" customHeight="1">
      <c r="A219" s="4" t="s">
        <v>17</v>
      </c>
      <c r="B219" s="4" t="s">
        <v>18</v>
      </c>
      <c r="C219" s="4" t="s">
        <v>19</v>
      </c>
      <c r="D219" s="5" t="s">
        <v>1498</v>
      </c>
      <c r="E219" s="32" t="s">
        <v>1519</v>
      </c>
      <c r="F219" s="5" t="s">
        <v>1520</v>
      </c>
      <c r="G219" s="5" t="s">
        <v>1521</v>
      </c>
      <c r="H219" s="19" t="s">
        <v>1522</v>
      </c>
      <c r="I219" s="19" t="s">
        <v>1523</v>
      </c>
      <c r="J219" s="19" t="s">
        <v>1524</v>
      </c>
      <c r="K219" s="18" t="s">
        <v>27</v>
      </c>
      <c r="L219" s="18" t="s">
        <v>28</v>
      </c>
      <c r="M219" s="34">
        <v>46009.0</v>
      </c>
      <c r="N219" s="35">
        <v>46127.0</v>
      </c>
      <c r="O219" s="19" t="s">
        <v>1525</v>
      </c>
      <c r="P219" s="19" t="s">
        <v>1526</v>
      </c>
      <c r="Q219" s="12" t="str">
        <f t="shared" si="1"/>
        <v>https://ec.europa.eu/info/funding-tenders/opportunities/portal/screen/opportunities/topic-details/HORIZON-CL5-2026-07-D1-04</v>
      </c>
    </row>
    <row r="220" ht="66.0" customHeight="1">
      <c r="A220" s="4" t="s">
        <v>17</v>
      </c>
      <c r="B220" s="4" t="s">
        <v>18</v>
      </c>
      <c r="C220" s="4" t="s">
        <v>19</v>
      </c>
      <c r="D220" s="5" t="s">
        <v>1498</v>
      </c>
      <c r="E220" s="32" t="s">
        <v>1527</v>
      </c>
      <c r="F220" s="5" t="s">
        <v>1528</v>
      </c>
      <c r="G220" s="5" t="s">
        <v>1529</v>
      </c>
      <c r="H220" s="19"/>
      <c r="I220" s="19" t="s">
        <v>1156</v>
      </c>
      <c r="J220" s="19" t="s">
        <v>1530</v>
      </c>
      <c r="K220" s="18" t="s">
        <v>27</v>
      </c>
      <c r="L220" s="18" t="s">
        <v>28</v>
      </c>
      <c r="M220" s="34">
        <v>46009.0</v>
      </c>
      <c r="N220" s="35">
        <v>46127.0</v>
      </c>
      <c r="O220" s="19" t="s">
        <v>1531</v>
      </c>
      <c r="P220" s="19" t="s">
        <v>1532</v>
      </c>
      <c r="Q220" s="12" t="str">
        <f t="shared" si="1"/>
        <v>https://ec.europa.eu/info/funding-tenders/opportunities/portal/screen/opportunities/topic-details/HORIZON-CL5-2026-07-D1-05</v>
      </c>
    </row>
    <row r="221" ht="66.0" customHeight="1">
      <c r="A221" s="4" t="s">
        <v>17</v>
      </c>
      <c r="B221" s="4" t="s">
        <v>18</v>
      </c>
      <c r="C221" s="4" t="s">
        <v>19</v>
      </c>
      <c r="D221" s="5" t="s">
        <v>1498</v>
      </c>
      <c r="E221" s="32" t="s">
        <v>1533</v>
      </c>
      <c r="F221" s="5" t="s">
        <v>1534</v>
      </c>
      <c r="G221" s="5" t="s">
        <v>1535</v>
      </c>
      <c r="H221" s="19"/>
      <c r="I221" s="19" t="s">
        <v>1156</v>
      </c>
      <c r="J221" s="19" t="s">
        <v>1536</v>
      </c>
      <c r="K221" s="18" t="s">
        <v>27</v>
      </c>
      <c r="L221" s="18" t="s">
        <v>157</v>
      </c>
      <c r="M221" s="34">
        <v>46009.0</v>
      </c>
      <c r="N221" s="35" t="s">
        <v>1537</v>
      </c>
      <c r="O221" s="19" t="s">
        <v>1538</v>
      </c>
      <c r="P221" s="19" t="s">
        <v>1539</v>
      </c>
      <c r="Q221" s="12" t="str">
        <f t="shared" si="1"/>
        <v>https://ec.europa.eu/info/funding-tenders/opportunities/portal/screen/opportunities/topic-details/HORIZON-CL5-2026-08-Two-Stage-D1-06</v>
      </c>
    </row>
    <row r="222" ht="66.0" customHeight="1">
      <c r="A222" s="4" t="s">
        <v>17</v>
      </c>
      <c r="B222" s="4" t="s">
        <v>18</v>
      </c>
      <c r="C222" s="4" t="s">
        <v>19</v>
      </c>
      <c r="D222" s="5" t="s">
        <v>1498</v>
      </c>
      <c r="E222" s="32" t="s">
        <v>1540</v>
      </c>
      <c r="F222" s="5" t="s">
        <v>1541</v>
      </c>
      <c r="G222" s="5" t="s">
        <v>1542</v>
      </c>
      <c r="H222" s="19"/>
      <c r="I222" s="19" t="s">
        <v>1156</v>
      </c>
      <c r="J222" s="19" t="s">
        <v>1543</v>
      </c>
      <c r="K222" s="18" t="s">
        <v>27</v>
      </c>
      <c r="L222" s="18" t="s">
        <v>28</v>
      </c>
      <c r="M222" s="34">
        <v>46343.0</v>
      </c>
      <c r="N222" s="35">
        <v>46450.0</v>
      </c>
      <c r="O222" s="19" t="s">
        <v>1544</v>
      </c>
      <c r="P222" s="19" t="s">
        <v>1545</v>
      </c>
      <c r="Q222" s="12" t="str">
        <f t="shared" si="1"/>
        <v>https://ec.europa.eu/info/funding-tenders/opportunities/portal/screen/opportunities/topic-details/HORIZON-CL5-2027-01-D1-07</v>
      </c>
    </row>
    <row r="223" ht="66.0" customHeight="1">
      <c r="A223" s="4" t="s">
        <v>17</v>
      </c>
      <c r="B223" s="4" t="s">
        <v>18</v>
      </c>
      <c r="C223" s="4" t="s">
        <v>19</v>
      </c>
      <c r="D223" s="5" t="s">
        <v>1498</v>
      </c>
      <c r="E223" s="32" t="s">
        <v>1546</v>
      </c>
      <c r="F223" s="5" t="s">
        <v>1547</v>
      </c>
      <c r="G223" s="5" t="s">
        <v>1548</v>
      </c>
      <c r="H223" s="19"/>
      <c r="I223" s="19" t="s">
        <v>1156</v>
      </c>
      <c r="J223" s="19" t="s">
        <v>1549</v>
      </c>
      <c r="K223" s="18" t="s">
        <v>27</v>
      </c>
      <c r="L223" s="18" t="s">
        <v>28</v>
      </c>
      <c r="M223" s="34">
        <v>46343.0</v>
      </c>
      <c r="N223" s="35">
        <v>46450.0</v>
      </c>
      <c r="O223" s="19" t="s">
        <v>1550</v>
      </c>
      <c r="P223" s="19" t="s">
        <v>1551</v>
      </c>
      <c r="Q223" s="12" t="str">
        <f t="shared" si="1"/>
        <v>https://ec.europa.eu/info/funding-tenders/opportunities/portal/screen/opportunities/topic-details/HORIZON-CL5-2027-01-D1-08</v>
      </c>
    </row>
    <row r="224" ht="66.0" customHeight="1">
      <c r="A224" s="4" t="s">
        <v>17</v>
      </c>
      <c r="B224" s="4" t="s">
        <v>18</v>
      </c>
      <c r="C224" s="4" t="s">
        <v>19</v>
      </c>
      <c r="D224" s="5" t="s">
        <v>1498</v>
      </c>
      <c r="E224" s="32" t="s">
        <v>1552</v>
      </c>
      <c r="F224" s="5" t="s">
        <v>1553</v>
      </c>
      <c r="G224" s="5" t="s">
        <v>1554</v>
      </c>
      <c r="H224" s="19" t="s">
        <v>1555</v>
      </c>
      <c r="I224" s="19" t="s">
        <v>1556</v>
      </c>
      <c r="J224" s="19" t="s">
        <v>1557</v>
      </c>
      <c r="K224" s="18" t="s">
        <v>27</v>
      </c>
      <c r="L224" s="18" t="s">
        <v>28</v>
      </c>
      <c r="M224" s="34">
        <v>46343.0</v>
      </c>
      <c r="N224" s="35">
        <v>46450.0</v>
      </c>
      <c r="O224" s="19" t="s">
        <v>1558</v>
      </c>
      <c r="P224" s="19" t="s">
        <v>1559</v>
      </c>
      <c r="Q224" s="12" t="str">
        <f t="shared" si="1"/>
        <v>https://ec.europa.eu/info/funding-tenders/opportunities/portal/screen/opportunities/topic-details/HORIZON-CL5-2027-01-D1-09</v>
      </c>
    </row>
    <row r="225" ht="66.0" customHeight="1">
      <c r="A225" s="4" t="s">
        <v>17</v>
      </c>
      <c r="B225" s="4" t="s">
        <v>18</v>
      </c>
      <c r="C225" s="4" t="s">
        <v>19</v>
      </c>
      <c r="D225" s="5" t="s">
        <v>1498</v>
      </c>
      <c r="E225" s="32" t="s">
        <v>1560</v>
      </c>
      <c r="F225" s="5" t="s">
        <v>1561</v>
      </c>
      <c r="G225" s="5" t="s">
        <v>1562</v>
      </c>
      <c r="H225" s="19" t="s">
        <v>1563</v>
      </c>
      <c r="I225" s="19" t="s">
        <v>1564</v>
      </c>
      <c r="J225" s="19" t="s">
        <v>1565</v>
      </c>
      <c r="K225" s="18" t="s">
        <v>27</v>
      </c>
      <c r="L225" s="18" t="s">
        <v>28</v>
      </c>
      <c r="M225" s="34">
        <v>46343.0</v>
      </c>
      <c r="N225" s="35">
        <v>46450.0</v>
      </c>
      <c r="O225" s="19" t="s">
        <v>1566</v>
      </c>
      <c r="P225" s="19" t="s">
        <v>1567</v>
      </c>
      <c r="Q225" s="12" t="str">
        <f t="shared" si="1"/>
        <v>https://ec.europa.eu/info/funding-tenders/opportunities/portal/screen/opportunities/topic-details/HORIZON-CL5-2027-01-D1-10</v>
      </c>
    </row>
    <row r="226" ht="66.0" customHeight="1">
      <c r="A226" s="4" t="s">
        <v>17</v>
      </c>
      <c r="B226" s="4" t="s">
        <v>18</v>
      </c>
      <c r="C226" s="4" t="s">
        <v>19</v>
      </c>
      <c r="D226" s="5" t="s">
        <v>1498</v>
      </c>
      <c r="E226" s="32" t="s">
        <v>1568</v>
      </c>
      <c r="F226" s="5" t="s">
        <v>1569</v>
      </c>
      <c r="G226" s="5" t="s">
        <v>1570</v>
      </c>
      <c r="H226" s="19"/>
      <c r="I226" s="19" t="s">
        <v>1571</v>
      </c>
      <c r="J226" s="19" t="s">
        <v>1572</v>
      </c>
      <c r="K226" s="18" t="s">
        <v>1573</v>
      </c>
      <c r="L226" s="18" t="s">
        <v>28</v>
      </c>
      <c r="M226" s="34">
        <v>46343.0</v>
      </c>
      <c r="N226" s="35">
        <v>46450.0</v>
      </c>
      <c r="O226" s="19" t="s">
        <v>1574</v>
      </c>
      <c r="P226" s="19" t="s">
        <v>1575</v>
      </c>
      <c r="Q226" s="12" t="str">
        <f t="shared" si="1"/>
        <v>https://ec.europa.eu/info/funding-tenders/opportunities/portal/screen/opportunities/topic-details/HORIZON-CL5-2027-01-D1-11</v>
      </c>
    </row>
    <row r="227" ht="66.0" customHeight="1">
      <c r="A227" s="4" t="s">
        <v>17</v>
      </c>
      <c r="B227" s="4" t="s">
        <v>18</v>
      </c>
      <c r="C227" s="4" t="s">
        <v>19</v>
      </c>
      <c r="D227" s="5" t="s">
        <v>1498</v>
      </c>
      <c r="E227" s="32" t="s">
        <v>1576</v>
      </c>
      <c r="F227" s="5" t="s">
        <v>1577</v>
      </c>
      <c r="G227" s="5" t="s">
        <v>1578</v>
      </c>
      <c r="H227" s="19"/>
      <c r="I227" s="19" t="s">
        <v>1156</v>
      </c>
      <c r="J227" s="19" t="s">
        <v>1579</v>
      </c>
      <c r="K227" s="18" t="s">
        <v>27</v>
      </c>
      <c r="L227" s="18" t="s">
        <v>28</v>
      </c>
      <c r="M227" s="34">
        <v>46343.0</v>
      </c>
      <c r="N227" s="35">
        <v>46450.0</v>
      </c>
      <c r="O227" s="19" t="s">
        <v>1580</v>
      </c>
      <c r="P227" s="19" t="s">
        <v>1581</v>
      </c>
      <c r="Q227" s="12" t="str">
        <f t="shared" si="1"/>
        <v>https://ec.europa.eu/info/funding-tenders/opportunities/portal/screen/opportunities/topic-details/HORIZON-CL5-2027-01-D1-12</v>
      </c>
    </row>
    <row r="228" ht="66.0" customHeight="1">
      <c r="A228" s="4" t="s">
        <v>17</v>
      </c>
      <c r="B228" s="4" t="s">
        <v>18</v>
      </c>
      <c r="C228" s="4" t="s">
        <v>19</v>
      </c>
      <c r="D228" s="5" t="s">
        <v>1498</v>
      </c>
      <c r="E228" s="32" t="s">
        <v>1582</v>
      </c>
      <c r="F228" s="5" t="s">
        <v>1583</v>
      </c>
      <c r="G228" s="5" t="s">
        <v>1584</v>
      </c>
      <c r="H228" s="19" t="s">
        <v>650</v>
      </c>
      <c r="I228" s="19" t="s">
        <v>1571</v>
      </c>
      <c r="J228" s="19" t="s">
        <v>1585</v>
      </c>
      <c r="K228" s="18" t="s">
        <v>27</v>
      </c>
      <c r="L228" s="18" t="s">
        <v>28</v>
      </c>
      <c r="M228" s="34">
        <v>46343.0</v>
      </c>
      <c r="N228" s="35">
        <v>46450.0</v>
      </c>
      <c r="O228" s="19" t="s">
        <v>1586</v>
      </c>
      <c r="P228" s="19" t="s">
        <v>1587</v>
      </c>
      <c r="Q228" s="12" t="str">
        <f t="shared" si="1"/>
        <v>https://ec.europa.eu/info/funding-tenders/opportunities/portal/screen/opportunities/topic-details/HORIZON-CL5-2027-01-D1-13</v>
      </c>
    </row>
    <row r="229" ht="66.0" customHeight="1">
      <c r="A229" s="4" t="s">
        <v>17</v>
      </c>
      <c r="B229" s="4" t="s">
        <v>18</v>
      </c>
      <c r="C229" s="4" t="s">
        <v>19</v>
      </c>
      <c r="D229" s="5" t="s">
        <v>1498</v>
      </c>
      <c r="E229" s="32" t="s">
        <v>1588</v>
      </c>
      <c r="F229" s="5" t="s">
        <v>1589</v>
      </c>
      <c r="G229" s="5" t="s">
        <v>1590</v>
      </c>
      <c r="H229" s="19"/>
      <c r="I229" s="19" t="s">
        <v>1591</v>
      </c>
      <c r="J229" s="19" t="s">
        <v>1592</v>
      </c>
      <c r="K229" s="18" t="s">
        <v>27</v>
      </c>
      <c r="L229" s="18" t="s">
        <v>28</v>
      </c>
      <c r="M229" s="34">
        <v>46147.0</v>
      </c>
      <c r="N229" s="35">
        <v>46280.0</v>
      </c>
      <c r="O229" s="19" t="s">
        <v>1593</v>
      </c>
      <c r="P229" s="19" t="s">
        <v>1594</v>
      </c>
      <c r="Q229" s="12" t="str">
        <f t="shared" si="1"/>
        <v>https://ec.europa.eu/info/funding-tenders/opportunities/portal/screen/opportunities/topic-details/HORIZON-CL5-2026-09-D2-01</v>
      </c>
    </row>
    <row r="230" ht="66.0" customHeight="1">
      <c r="A230" s="4" t="s">
        <v>17</v>
      </c>
      <c r="B230" s="4" t="s">
        <v>18</v>
      </c>
      <c r="C230" s="4" t="s">
        <v>19</v>
      </c>
      <c r="D230" s="5" t="s">
        <v>1498</v>
      </c>
      <c r="E230" s="32" t="s">
        <v>1595</v>
      </c>
      <c r="F230" s="5" t="s">
        <v>1596</v>
      </c>
      <c r="G230" s="5" t="s">
        <v>1597</v>
      </c>
      <c r="H230" s="19"/>
      <c r="I230" s="19" t="s">
        <v>895</v>
      </c>
      <c r="J230" s="19" t="s">
        <v>1598</v>
      </c>
      <c r="K230" s="18" t="s">
        <v>27</v>
      </c>
      <c r="L230" s="18" t="s">
        <v>28</v>
      </c>
      <c r="M230" s="34">
        <v>46009.0</v>
      </c>
      <c r="N230" s="35">
        <v>46112.0</v>
      </c>
      <c r="O230" s="19" t="s">
        <v>1599</v>
      </c>
      <c r="P230" s="19" t="s">
        <v>1600</v>
      </c>
      <c r="Q230" s="12" t="str">
        <f t="shared" si="1"/>
        <v>https://ec.europa.eu/info/funding-tenders/opportunities/portal/screen/opportunities/topic-details/HORIZON-CL5-2026-03-D2-02</v>
      </c>
    </row>
    <row r="231" ht="66.0" customHeight="1">
      <c r="A231" s="4" t="s">
        <v>17</v>
      </c>
      <c r="B231" s="4" t="s">
        <v>18</v>
      </c>
      <c r="C231" s="4" t="s">
        <v>19</v>
      </c>
      <c r="D231" s="5" t="s">
        <v>1498</v>
      </c>
      <c r="E231" s="32" t="s">
        <v>1601</v>
      </c>
      <c r="F231" s="5" t="s">
        <v>1602</v>
      </c>
      <c r="G231" s="5" t="s">
        <v>1603</v>
      </c>
      <c r="H231" s="19"/>
      <c r="I231" s="19" t="s">
        <v>1073</v>
      </c>
      <c r="J231" s="19" t="s">
        <v>1604</v>
      </c>
      <c r="K231" s="18" t="s">
        <v>239</v>
      </c>
      <c r="L231" s="18" t="s">
        <v>28</v>
      </c>
      <c r="M231" s="34">
        <v>46177.0</v>
      </c>
      <c r="N231" s="35">
        <v>46303.0</v>
      </c>
      <c r="O231" s="19" t="s">
        <v>1605</v>
      </c>
      <c r="P231" s="19" t="s">
        <v>1606</v>
      </c>
      <c r="Q231" s="12" t="str">
        <f t="shared" si="1"/>
        <v>https://ec.europa.eu/info/funding-tenders/opportunities/portal/screen/opportunities/topic-details/HORIZON-CL5-2026-10-D2-03</v>
      </c>
    </row>
    <row r="232" ht="66.0" customHeight="1">
      <c r="A232" s="4" t="s">
        <v>17</v>
      </c>
      <c r="B232" s="4" t="s">
        <v>18</v>
      </c>
      <c r="C232" s="4" t="s">
        <v>19</v>
      </c>
      <c r="D232" s="5" t="s">
        <v>1498</v>
      </c>
      <c r="E232" s="32" t="s">
        <v>1607</v>
      </c>
      <c r="F232" s="5" t="s">
        <v>1608</v>
      </c>
      <c r="G232" s="5" t="s">
        <v>1609</v>
      </c>
      <c r="H232" s="19"/>
      <c r="I232" s="19" t="s">
        <v>1080</v>
      </c>
      <c r="J232" s="19" t="s">
        <v>1610</v>
      </c>
      <c r="K232" s="18" t="s">
        <v>239</v>
      </c>
      <c r="L232" s="18" t="s">
        <v>28</v>
      </c>
      <c r="M232" s="34">
        <v>46147.0</v>
      </c>
      <c r="N232" s="35">
        <v>46280.0</v>
      </c>
      <c r="O232" s="19" t="s">
        <v>1611</v>
      </c>
      <c r="P232" s="19" t="s">
        <v>1612</v>
      </c>
      <c r="Q232" s="12" t="str">
        <f t="shared" si="1"/>
        <v>https://ec.europa.eu/info/funding-tenders/opportunities/portal/screen/opportunities/topic-details/HORIZON-CL5-2026-09-D2-04</v>
      </c>
    </row>
    <row r="233" ht="66.0" customHeight="1">
      <c r="A233" s="4" t="s">
        <v>17</v>
      </c>
      <c r="B233" s="4" t="s">
        <v>18</v>
      </c>
      <c r="C233" s="4" t="s">
        <v>19</v>
      </c>
      <c r="D233" s="5" t="s">
        <v>1498</v>
      </c>
      <c r="E233" s="32" t="s">
        <v>1613</v>
      </c>
      <c r="F233" s="5" t="s">
        <v>1614</v>
      </c>
      <c r="G233" s="5" t="s">
        <v>1615</v>
      </c>
      <c r="H233" s="19"/>
      <c r="I233" s="19" t="s">
        <v>1080</v>
      </c>
      <c r="J233" s="19" t="s">
        <v>1616</v>
      </c>
      <c r="K233" s="18" t="s">
        <v>239</v>
      </c>
      <c r="L233" s="18" t="s">
        <v>28</v>
      </c>
      <c r="M233" s="34">
        <v>46359.0</v>
      </c>
      <c r="N233" s="35">
        <v>46477.0</v>
      </c>
      <c r="O233" s="19" t="s">
        <v>1617</v>
      </c>
      <c r="P233" s="19" t="s">
        <v>1618</v>
      </c>
      <c r="Q233" s="12" t="str">
        <f t="shared" si="1"/>
        <v>https://ec.europa.eu/info/funding-tenders/opportunities/portal/screen/opportunities/topic-details/HORIZON-CL5-2027-02-D2-05</v>
      </c>
    </row>
    <row r="234" ht="66.0" customHeight="1">
      <c r="A234" s="4" t="s">
        <v>17</v>
      </c>
      <c r="B234" s="4" t="s">
        <v>18</v>
      </c>
      <c r="C234" s="4" t="s">
        <v>19</v>
      </c>
      <c r="D234" s="5" t="s">
        <v>1498</v>
      </c>
      <c r="E234" s="32" t="s">
        <v>1619</v>
      </c>
      <c r="F234" s="5" t="s">
        <v>1620</v>
      </c>
      <c r="G234" s="5" t="s">
        <v>1621</v>
      </c>
      <c r="H234" s="19"/>
      <c r="I234" s="19" t="s">
        <v>895</v>
      </c>
      <c r="J234" s="19" t="s">
        <v>1622</v>
      </c>
      <c r="K234" s="18" t="s">
        <v>239</v>
      </c>
      <c r="L234" s="18" t="s">
        <v>28</v>
      </c>
      <c r="M234" s="34">
        <v>46359.0</v>
      </c>
      <c r="N234" s="35">
        <v>46477.0</v>
      </c>
      <c r="O234" s="19" t="s">
        <v>1623</v>
      </c>
      <c r="P234" s="19" t="s">
        <v>1624</v>
      </c>
      <c r="Q234" s="12" t="str">
        <f t="shared" si="1"/>
        <v>https://ec.europa.eu/info/funding-tenders/opportunities/portal/screen/opportunities/topic-details/HORIZON-CL5-2027-02-D2-06</v>
      </c>
    </row>
    <row r="235" ht="66.0" customHeight="1">
      <c r="A235" s="4" t="s">
        <v>17</v>
      </c>
      <c r="B235" s="4" t="s">
        <v>18</v>
      </c>
      <c r="C235" s="4" t="s">
        <v>19</v>
      </c>
      <c r="D235" s="5" t="s">
        <v>1498</v>
      </c>
      <c r="E235" s="32" t="s">
        <v>1625</v>
      </c>
      <c r="F235" s="5" t="s">
        <v>1626</v>
      </c>
      <c r="G235" s="5" t="s">
        <v>1627</v>
      </c>
      <c r="H235" s="19"/>
      <c r="I235" s="19" t="s">
        <v>1016</v>
      </c>
      <c r="J235" s="19" t="s">
        <v>1628</v>
      </c>
      <c r="K235" s="18" t="s">
        <v>27</v>
      </c>
      <c r="L235" s="18" t="s">
        <v>157</v>
      </c>
      <c r="M235" s="34">
        <v>46371.0</v>
      </c>
      <c r="N235" s="35" t="s">
        <v>1629</v>
      </c>
      <c r="O235" s="19" t="s">
        <v>1630</v>
      </c>
      <c r="P235" s="19" t="s">
        <v>1631</v>
      </c>
      <c r="Q235" s="12" t="str">
        <f t="shared" si="1"/>
        <v>https://ec.europa.eu/info/funding-tenders/opportunities/portal/screen/opportunities/topic-details/HORIZON-CL5-2027-04-Two-Stage-D2-07</v>
      </c>
    </row>
    <row r="236" ht="66.0" customHeight="1">
      <c r="A236" s="4" t="s">
        <v>17</v>
      </c>
      <c r="B236" s="4" t="s">
        <v>18</v>
      </c>
      <c r="C236" s="4" t="s">
        <v>19</v>
      </c>
      <c r="D236" s="5" t="s">
        <v>1498</v>
      </c>
      <c r="E236" s="32" t="s">
        <v>1632</v>
      </c>
      <c r="F236" s="5" t="s">
        <v>1633</v>
      </c>
      <c r="G236" s="5" t="s">
        <v>1634</v>
      </c>
      <c r="H236" s="19"/>
      <c r="I236" s="19" t="s">
        <v>1087</v>
      </c>
      <c r="J236" s="19" t="s">
        <v>1635</v>
      </c>
      <c r="K236" s="18" t="s">
        <v>239</v>
      </c>
      <c r="L236" s="18" t="s">
        <v>28</v>
      </c>
      <c r="M236" s="34">
        <v>46512.0</v>
      </c>
      <c r="N236" s="35">
        <v>46645.0</v>
      </c>
      <c r="O236" s="19" t="s">
        <v>1636</v>
      </c>
      <c r="P236" s="19" t="s">
        <v>1637</v>
      </c>
      <c r="Q236" s="12" t="str">
        <f t="shared" si="1"/>
        <v>https://ec.europa.eu/info/funding-tenders/opportunities/portal/screen/opportunities/topic-details/HORIZON-CL5-2027-05-D2-08</v>
      </c>
    </row>
    <row r="237" ht="66.0" customHeight="1">
      <c r="A237" s="4" t="s">
        <v>17</v>
      </c>
      <c r="B237" s="4" t="s">
        <v>18</v>
      </c>
      <c r="C237" s="4" t="s">
        <v>19</v>
      </c>
      <c r="D237" s="5" t="s">
        <v>1498</v>
      </c>
      <c r="E237" s="32" t="s">
        <v>1638</v>
      </c>
      <c r="F237" s="5" t="s">
        <v>1639</v>
      </c>
      <c r="G237" s="5" t="s">
        <v>1640</v>
      </c>
      <c r="H237" s="19"/>
      <c r="I237" s="19" t="s">
        <v>1054</v>
      </c>
      <c r="J237" s="19" t="s">
        <v>1641</v>
      </c>
      <c r="K237" s="18" t="s">
        <v>27</v>
      </c>
      <c r="L237" s="18" t="s">
        <v>28</v>
      </c>
      <c r="M237" s="34">
        <v>46009.0</v>
      </c>
      <c r="N237" s="35">
        <v>46112.0</v>
      </c>
      <c r="O237" s="19" t="s">
        <v>1642</v>
      </c>
      <c r="P237" s="19" t="s">
        <v>1643</v>
      </c>
      <c r="Q237" s="12" t="str">
        <f t="shared" si="1"/>
        <v>https://ec.europa.eu/info/funding-tenders/opportunities/portal/screen/opportunities/topic-details/HORIZON-CL5-2026-03-D3-01</v>
      </c>
    </row>
    <row r="238" ht="66.0" customHeight="1">
      <c r="A238" s="4" t="s">
        <v>17</v>
      </c>
      <c r="B238" s="4" t="s">
        <v>18</v>
      </c>
      <c r="C238" s="4" t="s">
        <v>19</v>
      </c>
      <c r="D238" s="5" t="s">
        <v>1498</v>
      </c>
      <c r="E238" s="32" t="s">
        <v>1644</v>
      </c>
      <c r="F238" s="5" t="s">
        <v>1645</v>
      </c>
      <c r="G238" s="5" t="s">
        <v>1646</v>
      </c>
      <c r="H238" s="19" t="s">
        <v>46</v>
      </c>
      <c r="I238" s="19" t="s">
        <v>1054</v>
      </c>
      <c r="J238" s="19" t="s">
        <v>1647</v>
      </c>
      <c r="K238" s="18" t="s">
        <v>27</v>
      </c>
      <c r="L238" s="18" t="s">
        <v>157</v>
      </c>
      <c r="M238" s="34">
        <v>46009.0</v>
      </c>
      <c r="N238" s="35" t="s">
        <v>1648</v>
      </c>
      <c r="O238" s="19" t="s">
        <v>1649</v>
      </c>
      <c r="P238" s="19" t="s">
        <v>1650</v>
      </c>
      <c r="Q238" s="12" t="str">
        <f t="shared" si="1"/>
        <v>https://ec.europa.eu/info/funding-tenders/opportunities/portal/screen/opportunities/topic-details/HORIZON-CL5-2026-04-Two-Stage-D3-02</v>
      </c>
    </row>
    <row r="239" ht="66.0" customHeight="1">
      <c r="A239" s="4" t="s">
        <v>17</v>
      </c>
      <c r="B239" s="4" t="s">
        <v>18</v>
      </c>
      <c r="C239" s="4" t="s">
        <v>19</v>
      </c>
      <c r="D239" s="5" t="s">
        <v>1498</v>
      </c>
      <c r="E239" s="32" t="s">
        <v>1651</v>
      </c>
      <c r="F239" s="5" t="s">
        <v>1652</v>
      </c>
      <c r="G239" s="5" t="s">
        <v>1653</v>
      </c>
      <c r="H239" s="19"/>
      <c r="I239" s="19" t="s">
        <v>1087</v>
      </c>
      <c r="J239" s="19" t="s">
        <v>1654</v>
      </c>
      <c r="K239" s="18" t="s">
        <v>239</v>
      </c>
      <c r="L239" s="18" t="s">
        <v>28</v>
      </c>
      <c r="M239" s="34">
        <v>46147.0</v>
      </c>
      <c r="N239" s="35">
        <v>46280.0</v>
      </c>
      <c r="O239" s="19" t="s">
        <v>1655</v>
      </c>
      <c r="P239" s="19" t="s">
        <v>1656</v>
      </c>
      <c r="Q239" s="12" t="str">
        <f t="shared" si="1"/>
        <v>https://ec.europa.eu/info/funding-tenders/opportunities/portal/screen/opportunities/topic-details/HORIZON-CL5-2026-09-D3-03</v>
      </c>
    </row>
    <row r="240" ht="66.0" customHeight="1">
      <c r="A240" s="4" t="s">
        <v>17</v>
      </c>
      <c r="B240" s="4" t="s">
        <v>18</v>
      </c>
      <c r="C240" s="4" t="s">
        <v>19</v>
      </c>
      <c r="D240" s="5" t="s">
        <v>1498</v>
      </c>
      <c r="E240" s="32" t="s">
        <v>1657</v>
      </c>
      <c r="F240" s="5" t="s">
        <v>1658</v>
      </c>
      <c r="G240" s="5" t="s">
        <v>1659</v>
      </c>
      <c r="H240" s="19"/>
      <c r="I240" s="19" t="s">
        <v>1660</v>
      </c>
      <c r="J240" s="19" t="s">
        <v>1661</v>
      </c>
      <c r="K240" s="18" t="s">
        <v>90</v>
      </c>
      <c r="L240" s="18" t="s">
        <v>28</v>
      </c>
      <c r="M240" s="34">
        <v>46238.0</v>
      </c>
      <c r="N240" s="35">
        <v>46357.0</v>
      </c>
      <c r="O240" s="19" t="s">
        <v>1662</v>
      </c>
      <c r="P240" s="19" t="s">
        <v>1663</v>
      </c>
      <c r="Q240" s="12" t="str">
        <f t="shared" si="1"/>
        <v>https://ec.europa.eu/info/funding-tenders/opportunities/portal/screen/opportunities/topic-details/HORIZON-CL5-2026-11-D3-04</v>
      </c>
    </row>
    <row r="241" ht="66.0" customHeight="1">
      <c r="A241" s="4" t="s">
        <v>17</v>
      </c>
      <c r="B241" s="4" t="s">
        <v>18</v>
      </c>
      <c r="C241" s="4" t="s">
        <v>19</v>
      </c>
      <c r="D241" s="5" t="s">
        <v>1498</v>
      </c>
      <c r="E241" s="32" t="s">
        <v>1664</v>
      </c>
      <c r="F241" s="5" t="s">
        <v>1665</v>
      </c>
      <c r="G241" s="5" t="s">
        <v>1666</v>
      </c>
      <c r="H241" s="19" t="s">
        <v>1667</v>
      </c>
      <c r="I241" s="19" t="s">
        <v>1668</v>
      </c>
      <c r="J241" s="19" t="s">
        <v>1669</v>
      </c>
      <c r="K241" s="18" t="s">
        <v>239</v>
      </c>
      <c r="L241" s="18" t="s">
        <v>28</v>
      </c>
      <c r="M241" s="34">
        <v>46238.0</v>
      </c>
      <c r="N241" s="35">
        <v>46357.0</v>
      </c>
      <c r="O241" s="19" t="s">
        <v>1670</v>
      </c>
      <c r="P241" s="19" t="s">
        <v>1671</v>
      </c>
      <c r="Q241" s="12" t="str">
        <f t="shared" si="1"/>
        <v>https://ec.europa.eu/info/funding-tenders/opportunities/portal/screen/opportunities/topic-details/HORIZON-CL5-2026-11-D3-05</v>
      </c>
    </row>
    <row r="242" ht="66.0" customHeight="1">
      <c r="A242" s="4" t="s">
        <v>17</v>
      </c>
      <c r="B242" s="4" t="s">
        <v>18</v>
      </c>
      <c r="C242" s="4" t="s">
        <v>19</v>
      </c>
      <c r="D242" s="5" t="s">
        <v>1498</v>
      </c>
      <c r="E242" s="32" t="s">
        <v>1672</v>
      </c>
      <c r="F242" s="5" t="s">
        <v>1673</v>
      </c>
      <c r="G242" s="5" t="s">
        <v>1674</v>
      </c>
      <c r="H242" s="19" t="s">
        <v>46</v>
      </c>
      <c r="I242" s="19" t="s">
        <v>1156</v>
      </c>
      <c r="J242" s="19" t="s">
        <v>1675</v>
      </c>
      <c r="K242" s="18" t="s">
        <v>27</v>
      </c>
      <c r="L242" s="18" t="s">
        <v>28</v>
      </c>
      <c r="M242" s="34">
        <v>46238.0</v>
      </c>
      <c r="N242" s="35">
        <v>46357.0</v>
      </c>
      <c r="O242" s="19" t="s">
        <v>1676</v>
      </c>
      <c r="P242" s="19" t="s">
        <v>1677</v>
      </c>
      <c r="Q242" s="12" t="str">
        <f t="shared" si="1"/>
        <v>https://ec.europa.eu/info/funding-tenders/opportunities/portal/screen/opportunities/topic-details/HORIZON-CL5-2026-11-D3-06</v>
      </c>
    </row>
    <row r="243" ht="66.0" customHeight="1">
      <c r="A243" s="4" t="s">
        <v>17</v>
      </c>
      <c r="B243" s="4" t="s">
        <v>18</v>
      </c>
      <c r="C243" s="4" t="s">
        <v>19</v>
      </c>
      <c r="D243" s="5" t="s">
        <v>1498</v>
      </c>
      <c r="E243" s="32" t="s">
        <v>1678</v>
      </c>
      <c r="F243" s="5" t="s">
        <v>1679</v>
      </c>
      <c r="G243" s="5" t="s">
        <v>1680</v>
      </c>
      <c r="H243" s="19"/>
      <c r="I243" s="19" t="s">
        <v>1054</v>
      </c>
      <c r="J243" s="19" t="s">
        <v>1681</v>
      </c>
      <c r="K243" s="18" t="s">
        <v>239</v>
      </c>
      <c r="L243" s="18" t="s">
        <v>28</v>
      </c>
      <c r="M243" s="34">
        <v>46359.0</v>
      </c>
      <c r="N243" s="35">
        <v>46477.0</v>
      </c>
      <c r="O243" s="19" t="s">
        <v>1682</v>
      </c>
      <c r="P243" s="19" t="s">
        <v>1683</v>
      </c>
      <c r="Q243" s="12" t="str">
        <f t="shared" si="1"/>
        <v>https://ec.europa.eu/info/funding-tenders/opportunities/portal/screen/opportunities/topic-details/HORIZON-CL5-2027-02-D3-07</v>
      </c>
    </row>
    <row r="244" ht="66.0" customHeight="1">
      <c r="A244" s="4" t="s">
        <v>17</v>
      </c>
      <c r="B244" s="4" t="s">
        <v>18</v>
      </c>
      <c r="C244" s="4" t="s">
        <v>19</v>
      </c>
      <c r="D244" s="5" t="s">
        <v>1498</v>
      </c>
      <c r="E244" s="32" t="s">
        <v>1684</v>
      </c>
      <c r="F244" s="5" t="s">
        <v>1685</v>
      </c>
      <c r="G244" s="5" t="s">
        <v>1686</v>
      </c>
      <c r="H244" s="19"/>
      <c r="I244" s="19" t="s">
        <v>833</v>
      </c>
      <c r="J244" s="19" t="s">
        <v>1687</v>
      </c>
      <c r="K244" s="18" t="s">
        <v>1573</v>
      </c>
      <c r="L244" s="18" t="s">
        <v>28</v>
      </c>
      <c r="M244" s="34">
        <v>46359.0</v>
      </c>
      <c r="N244" s="35">
        <v>46477.0</v>
      </c>
      <c r="O244" s="19" t="s">
        <v>1688</v>
      </c>
      <c r="P244" s="19" t="s">
        <v>1689</v>
      </c>
      <c r="Q244" s="12" t="str">
        <f t="shared" si="1"/>
        <v>https://ec.europa.eu/info/funding-tenders/opportunities/portal/screen/opportunities/topic-details/HORIZON-CL5-2027-02-D3-08</v>
      </c>
    </row>
    <row r="245" ht="66.0" customHeight="1">
      <c r="A245" s="4" t="s">
        <v>17</v>
      </c>
      <c r="B245" s="4" t="s">
        <v>18</v>
      </c>
      <c r="C245" s="4" t="s">
        <v>19</v>
      </c>
      <c r="D245" s="5" t="s">
        <v>1498</v>
      </c>
      <c r="E245" s="32" t="s">
        <v>1690</v>
      </c>
      <c r="F245" s="5" t="s">
        <v>1691</v>
      </c>
      <c r="G245" s="5" t="s">
        <v>1692</v>
      </c>
      <c r="H245" s="19"/>
      <c r="I245" s="19" t="s">
        <v>1054</v>
      </c>
      <c r="J245" s="19" t="s">
        <v>1693</v>
      </c>
      <c r="K245" s="18" t="s">
        <v>239</v>
      </c>
      <c r="L245" s="18" t="s">
        <v>28</v>
      </c>
      <c r="M245" s="34">
        <v>46359.0</v>
      </c>
      <c r="N245" s="35">
        <v>46477.0</v>
      </c>
      <c r="O245" s="19" t="s">
        <v>1694</v>
      </c>
      <c r="P245" s="19" t="s">
        <v>1695</v>
      </c>
      <c r="Q245" s="12" t="str">
        <f t="shared" si="1"/>
        <v>https://ec.europa.eu/info/funding-tenders/opportunities/portal/screen/opportunities/topic-details/HORIZON-CL5-2027-02-D3-09</v>
      </c>
    </row>
    <row r="246" ht="66.0" customHeight="1">
      <c r="A246" s="4" t="s">
        <v>17</v>
      </c>
      <c r="B246" s="4" t="s">
        <v>18</v>
      </c>
      <c r="C246" s="4" t="s">
        <v>19</v>
      </c>
      <c r="D246" s="5" t="s">
        <v>1498</v>
      </c>
      <c r="E246" s="32" t="s">
        <v>1696</v>
      </c>
      <c r="F246" s="5" t="s">
        <v>1697</v>
      </c>
      <c r="G246" s="5" t="s">
        <v>1698</v>
      </c>
      <c r="H246" s="19"/>
      <c r="I246" s="19" t="s">
        <v>833</v>
      </c>
      <c r="J246" s="19" t="s">
        <v>1699</v>
      </c>
      <c r="K246" s="18" t="s">
        <v>239</v>
      </c>
      <c r="L246" s="18" t="s">
        <v>28</v>
      </c>
      <c r="M246" s="34">
        <v>46359.0</v>
      </c>
      <c r="N246" s="35">
        <v>46477.0</v>
      </c>
      <c r="O246" s="19" t="s">
        <v>1700</v>
      </c>
      <c r="P246" s="19" t="s">
        <v>1701</v>
      </c>
      <c r="Q246" s="12" t="str">
        <f t="shared" si="1"/>
        <v>https://ec.europa.eu/info/funding-tenders/opportunities/portal/screen/opportunities/topic-details/HORIZON-CL5-2027-02-D3-10</v>
      </c>
    </row>
    <row r="247" ht="66.0" customHeight="1">
      <c r="A247" s="4" t="s">
        <v>17</v>
      </c>
      <c r="B247" s="4" t="s">
        <v>18</v>
      </c>
      <c r="C247" s="4" t="s">
        <v>19</v>
      </c>
      <c r="D247" s="5" t="s">
        <v>1498</v>
      </c>
      <c r="E247" s="32" t="s">
        <v>1702</v>
      </c>
      <c r="F247" s="5" t="s">
        <v>1703</v>
      </c>
      <c r="G247" s="5" t="s">
        <v>1704</v>
      </c>
      <c r="H247" s="19"/>
      <c r="I247" s="19" t="s">
        <v>1054</v>
      </c>
      <c r="J247" s="19" t="s">
        <v>1705</v>
      </c>
      <c r="K247" s="18" t="s">
        <v>239</v>
      </c>
      <c r="L247" s="18" t="s">
        <v>28</v>
      </c>
      <c r="M247" s="34">
        <v>46603.0</v>
      </c>
      <c r="N247" s="35">
        <v>46722.0</v>
      </c>
      <c r="O247" s="19" t="s">
        <v>1706</v>
      </c>
      <c r="P247" s="19" t="s">
        <v>1707</v>
      </c>
      <c r="Q247" s="12" t="str">
        <f t="shared" si="1"/>
        <v>https://ec.europa.eu/info/funding-tenders/opportunities/portal/screen/opportunities/topic-details/HORIZON-CL5-2027-07-D3-11</v>
      </c>
    </row>
    <row r="248" ht="66.0" customHeight="1">
      <c r="A248" s="4" t="s">
        <v>17</v>
      </c>
      <c r="B248" s="4" t="s">
        <v>18</v>
      </c>
      <c r="C248" s="4" t="s">
        <v>19</v>
      </c>
      <c r="D248" s="5" t="s">
        <v>1498</v>
      </c>
      <c r="E248" s="32" t="s">
        <v>1708</v>
      </c>
      <c r="F248" s="5" t="s">
        <v>1709</v>
      </c>
      <c r="G248" s="5" t="s">
        <v>1710</v>
      </c>
      <c r="H248" s="19"/>
      <c r="I248" s="19" t="s">
        <v>1711</v>
      </c>
      <c r="J248" s="19" t="s">
        <v>1712</v>
      </c>
      <c r="K248" s="18" t="s">
        <v>27</v>
      </c>
      <c r="L248" s="18" t="s">
        <v>28</v>
      </c>
      <c r="M248" s="34">
        <v>46009.0</v>
      </c>
      <c r="N248" s="35">
        <v>46112.0</v>
      </c>
      <c r="O248" s="19" t="s">
        <v>1713</v>
      </c>
      <c r="P248" s="19" t="s">
        <v>1714</v>
      </c>
      <c r="Q248" s="12" t="str">
        <f t="shared" si="1"/>
        <v>https://ec.europa.eu/info/funding-tenders/opportunities/portal/screen/opportunities/topic-details/HORIZON-CL5-2026-03-D3-12</v>
      </c>
    </row>
    <row r="249" ht="66.0" customHeight="1">
      <c r="A249" s="4" t="s">
        <v>17</v>
      </c>
      <c r="B249" s="4" t="s">
        <v>18</v>
      </c>
      <c r="C249" s="4" t="s">
        <v>19</v>
      </c>
      <c r="D249" s="5" t="s">
        <v>1498</v>
      </c>
      <c r="E249" s="32" t="s">
        <v>1715</v>
      </c>
      <c r="F249" s="5" t="s">
        <v>1716</v>
      </c>
      <c r="G249" s="5" t="s">
        <v>1717</v>
      </c>
      <c r="H249" s="19"/>
      <c r="I249" s="19" t="s">
        <v>895</v>
      </c>
      <c r="J249" s="19" t="s">
        <v>1718</v>
      </c>
      <c r="K249" s="18" t="s">
        <v>239</v>
      </c>
      <c r="L249" s="18" t="s">
        <v>28</v>
      </c>
      <c r="M249" s="34">
        <v>46009.0</v>
      </c>
      <c r="N249" s="35">
        <v>46112.0</v>
      </c>
      <c r="O249" s="19" t="s">
        <v>1719</v>
      </c>
      <c r="P249" s="19" t="s">
        <v>1720</v>
      </c>
      <c r="Q249" s="12" t="str">
        <f t="shared" si="1"/>
        <v>https://ec.europa.eu/info/funding-tenders/opportunities/portal/screen/opportunities/topic-details/HORIZON-CL5-2026-03-D3-13</v>
      </c>
    </row>
    <row r="250" ht="66.0" customHeight="1">
      <c r="A250" s="4" t="s">
        <v>17</v>
      </c>
      <c r="B250" s="4" t="s">
        <v>18</v>
      </c>
      <c r="C250" s="4" t="s">
        <v>19</v>
      </c>
      <c r="D250" s="5" t="s">
        <v>1498</v>
      </c>
      <c r="E250" s="32" t="s">
        <v>1721</v>
      </c>
      <c r="F250" s="5" t="s">
        <v>1722</v>
      </c>
      <c r="G250" s="5" t="s">
        <v>1723</v>
      </c>
      <c r="H250" s="19" t="s">
        <v>46</v>
      </c>
      <c r="I250" s="19" t="s">
        <v>1087</v>
      </c>
      <c r="J250" s="19" t="s">
        <v>1724</v>
      </c>
      <c r="K250" s="18" t="s">
        <v>239</v>
      </c>
      <c r="L250" s="18" t="s">
        <v>28</v>
      </c>
      <c r="M250" s="34">
        <v>46238.0</v>
      </c>
      <c r="N250" s="35">
        <v>46357.0</v>
      </c>
      <c r="O250" s="19" t="s">
        <v>1725</v>
      </c>
      <c r="P250" s="19" t="s">
        <v>1726</v>
      </c>
      <c r="Q250" s="12" t="str">
        <f t="shared" si="1"/>
        <v>https://ec.europa.eu/info/funding-tenders/opportunities/portal/screen/opportunities/topic-details/HORIZON-CL5-2026-11-D3-14</v>
      </c>
    </row>
    <row r="251" ht="66.0" customHeight="1">
      <c r="A251" s="4" t="s">
        <v>17</v>
      </c>
      <c r="B251" s="4" t="s">
        <v>18</v>
      </c>
      <c r="C251" s="4" t="s">
        <v>19</v>
      </c>
      <c r="D251" s="5" t="s">
        <v>1498</v>
      </c>
      <c r="E251" s="32" t="s">
        <v>1727</v>
      </c>
      <c r="F251" s="5" t="s">
        <v>1728</v>
      </c>
      <c r="G251" s="5" t="s">
        <v>1729</v>
      </c>
      <c r="H251" s="19"/>
      <c r="I251" s="19" t="s">
        <v>1054</v>
      </c>
      <c r="J251" s="19" t="s">
        <v>1730</v>
      </c>
      <c r="K251" s="18" t="s">
        <v>239</v>
      </c>
      <c r="L251" s="18" t="s">
        <v>28</v>
      </c>
      <c r="M251" s="34">
        <v>46359.0</v>
      </c>
      <c r="N251" s="35">
        <v>46477.0</v>
      </c>
      <c r="O251" s="19" t="s">
        <v>1731</v>
      </c>
      <c r="P251" s="19" t="s">
        <v>1732</v>
      </c>
      <c r="Q251" s="12" t="str">
        <f t="shared" si="1"/>
        <v>https://ec.europa.eu/info/funding-tenders/opportunities/portal/screen/opportunities/topic-details/HORIZON-CL5-2027-02-D3-15</v>
      </c>
    </row>
    <row r="252" ht="66.0" customHeight="1">
      <c r="A252" s="4" t="s">
        <v>17</v>
      </c>
      <c r="B252" s="4" t="s">
        <v>18</v>
      </c>
      <c r="C252" s="4" t="s">
        <v>19</v>
      </c>
      <c r="D252" s="5" t="s">
        <v>1498</v>
      </c>
      <c r="E252" s="32" t="s">
        <v>1733</v>
      </c>
      <c r="F252" s="5" t="s">
        <v>1734</v>
      </c>
      <c r="G252" s="5" t="s">
        <v>1735</v>
      </c>
      <c r="H252" s="19"/>
      <c r="I252" s="19" t="s">
        <v>895</v>
      </c>
      <c r="J252" s="19" t="s">
        <v>1736</v>
      </c>
      <c r="K252" s="18" t="s">
        <v>239</v>
      </c>
      <c r="L252" s="18" t="s">
        <v>28</v>
      </c>
      <c r="M252" s="34">
        <v>46603.0</v>
      </c>
      <c r="N252" s="35">
        <v>46722.0</v>
      </c>
      <c r="O252" s="19" t="s">
        <v>1737</v>
      </c>
      <c r="P252" s="19" t="s">
        <v>1738</v>
      </c>
      <c r="Q252" s="12" t="str">
        <f t="shared" si="1"/>
        <v>https://ec.europa.eu/info/funding-tenders/opportunities/portal/screen/opportunities/topic-details/HORIZON-CL5-2027-07-D3-16</v>
      </c>
    </row>
    <row r="253" ht="66.0" customHeight="1">
      <c r="A253" s="4" t="s">
        <v>17</v>
      </c>
      <c r="B253" s="4" t="s">
        <v>18</v>
      </c>
      <c r="C253" s="4" t="s">
        <v>19</v>
      </c>
      <c r="D253" s="5" t="s">
        <v>1498</v>
      </c>
      <c r="E253" s="32" t="s">
        <v>1739</v>
      </c>
      <c r="F253" s="5" t="s">
        <v>1740</v>
      </c>
      <c r="G253" s="5" t="s">
        <v>1741</v>
      </c>
      <c r="H253" s="19"/>
      <c r="I253" s="19" t="s">
        <v>847</v>
      </c>
      <c r="J253" s="19" t="s">
        <v>1742</v>
      </c>
      <c r="K253" s="18" t="s">
        <v>239</v>
      </c>
      <c r="L253" s="18" t="s">
        <v>28</v>
      </c>
      <c r="M253" s="34">
        <v>46603.0</v>
      </c>
      <c r="N253" s="35">
        <v>46722.0</v>
      </c>
      <c r="O253" s="19" t="s">
        <v>1743</v>
      </c>
      <c r="P253" s="19" t="s">
        <v>1744</v>
      </c>
      <c r="Q253" s="12" t="str">
        <f t="shared" si="1"/>
        <v>https://ec.europa.eu/info/funding-tenders/opportunities/portal/screen/opportunities/topic-details/HORIZON-CL5-2027-07-D3-17</v>
      </c>
    </row>
    <row r="254" ht="66.0" customHeight="1">
      <c r="A254" s="4" t="s">
        <v>17</v>
      </c>
      <c r="B254" s="4" t="s">
        <v>18</v>
      </c>
      <c r="C254" s="4" t="s">
        <v>19</v>
      </c>
      <c r="D254" s="5" t="s">
        <v>1498</v>
      </c>
      <c r="E254" s="32" t="s">
        <v>1745</v>
      </c>
      <c r="F254" s="5" t="s">
        <v>1746</v>
      </c>
      <c r="G254" s="5" t="s">
        <v>1747</v>
      </c>
      <c r="H254" s="19"/>
      <c r="I254" s="19" t="s">
        <v>1748</v>
      </c>
      <c r="J254" s="19" t="s">
        <v>1749</v>
      </c>
      <c r="K254" s="18" t="s">
        <v>239</v>
      </c>
      <c r="L254" s="18" t="s">
        <v>28</v>
      </c>
      <c r="M254" s="34">
        <v>46009.0</v>
      </c>
      <c r="N254" s="35">
        <v>46112.0</v>
      </c>
      <c r="O254" s="19" t="s">
        <v>1750</v>
      </c>
      <c r="P254" s="19" t="s">
        <v>1751</v>
      </c>
      <c r="Q254" s="12" t="str">
        <f t="shared" si="1"/>
        <v>https://ec.europa.eu/info/funding-tenders/opportunities/portal/screen/opportunities/topic-details/HORIZON-CL5-2026-03-D3-18</v>
      </c>
    </row>
    <row r="255" ht="66.0" customHeight="1">
      <c r="A255" s="4" t="s">
        <v>17</v>
      </c>
      <c r="B255" s="4" t="s">
        <v>18</v>
      </c>
      <c r="C255" s="4" t="s">
        <v>19</v>
      </c>
      <c r="D255" s="5" t="s">
        <v>1498</v>
      </c>
      <c r="E255" s="32" t="s">
        <v>1752</v>
      </c>
      <c r="F255" s="5" t="s">
        <v>1753</v>
      </c>
      <c r="G255" s="5" t="s">
        <v>1754</v>
      </c>
      <c r="H255" s="19"/>
      <c r="I255" s="19" t="s">
        <v>1748</v>
      </c>
      <c r="J255" s="19" t="s">
        <v>1755</v>
      </c>
      <c r="K255" s="18" t="s">
        <v>239</v>
      </c>
      <c r="L255" s="18" t="s">
        <v>28</v>
      </c>
      <c r="M255" s="34">
        <v>46009.0</v>
      </c>
      <c r="N255" s="35">
        <v>46112.0</v>
      </c>
      <c r="O255" s="19" t="s">
        <v>1756</v>
      </c>
      <c r="P255" s="19" t="s">
        <v>1757</v>
      </c>
      <c r="Q255" s="12" t="str">
        <f t="shared" si="1"/>
        <v>https://ec.europa.eu/info/funding-tenders/opportunities/portal/screen/opportunities/topic-details/HORIZON-CL5-2026-03-D3-19</v>
      </c>
    </row>
    <row r="256" ht="66.0" customHeight="1">
      <c r="A256" s="4" t="s">
        <v>17</v>
      </c>
      <c r="B256" s="4" t="s">
        <v>18</v>
      </c>
      <c r="C256" s="4" t="s">
        <v>19</v>
      </c>
      <c r="D256" s="5" t="s">
        <v>1498</v>
      </c>
      <c r="E256" s="32" t="s">
        <v>1758</v>
      </c>
      <c r="F256" s="5" t="s">
        <v>1759</v>
      </c>
      <c r="G256" s="5" t="s">
        <v>1760</v>
      </c>
      <c r="H256" s="19"/>
      <c r="I256" s="19" t="s">
        <v>812</v>
      </c>
      <c r="J256" s="19" t="s">
        <v>1761</v>
      </c>
      <c r="K256" s="18" t="s">
        <v>239</v>
      </c>
      <c r="L256" s="18" t="s">
        <v>28</v>
      </c>
      <c r="M256" s="34">
        <v>46009.0</v>
      </c>
      <c r="N256" s="35">
        <v>46112.0</v>
      </c>
      <c r="O256" s="19" t="s">
        <v>1762</v>
      </c>
      <c r="P256" s="19" t="s">
        <v>1763</v>
      </c>
      <c r="Q256" s="12" t="str">
        <f t="shared" si="1"/>
        <v>https://ec.europa.eu/info/funding-tenders/opportunities/portal/screen/opportunities/topic-details/HORIZON-CL5-2026-03-D3-20</v>
      </c>
    </row>
    <row r="257" ht="66.0" customHeight="1">
      <c r="A257" s="4" t="s">
        <v>17</v>
      </c>
      <c r="B257" s="4" t="s">
        <v>18</v>
      </c>
      <c r="C257" s="4" t="s">
        <v>19</v>
      </c>
      <c r="D257" s="5" t="s">
        <v>1498</v>
      </c>
      <c r="E257" s="32" t="s">
        <v>1764</v>
      </c>
      <c r="F257" s="5" t="s">
        <v>1765</v>
      </c>
      <c r="G257" s="5" t="s">
        <v>1766</v>
      </c>
      <c r="H257" s="19"/>
      <c r="I257" s="19" t="s">
        <v>847</v>
      </c>
      <c r="J257" s="19" t="s">
        <v>1767</v>
      </c>
      <c r="K257" s="18" t="s">
        <v>27</v>
      </c>
      <c r="L257" s="18" t="s">
        <v>28</v>
      </c>
      <c r="M257" s="34">
        <v>46009.0</v>
      </c>
      <c r="N257" s="35">
        <v>46112.0</v>
      </c>
      <c r="O257" s="19" t="s">
        <v>1768</v>
      </c>
      <c r="P257" s="19" t="s">
        <v>1769</v>
      </c>
      <c r="Q257" s="12" t="str">
        <f t="shared" si="1"/>
        <v>https://ec.europa.eu/info/funding-tenders/opportunities/portal/screen/opportunities/topic-details/HORIZON-CL5-2026-03-D3-21</v>
      </c>
    </row>
    <row r="258" ht="66.0" customHeight="1">
      <c r="A258" s="4" t="s">
        <v>17</v>
      </c>
      <c r="B258" s="4" t="s">
        <v>18</v>
      </c>
      <c r="C258" s="4" t="s">
        <v>19</v>
      </c>
      <c r="D258" s="5" t="s">
        <v>1498</v>
      </c>
      <c r="E258" s="32" t="s">
        <v>1770</v>
      </c>
      <c r="F258" s="5" t="s">
        <v>1771</v>
      </c>
      <c r="G258" s="5" t="s">
        <v>1772</v>
      </c>
      <c r="H258" s="19" t="s">
        <v>46</v>
      </c>
      <c r="I258" s="19" t="s">
        <v>773</v>
      </c>
      <c r="J258" s="19" t="s">
        <v>1773</v>
      </c>
      <c r="K258" s="18" t="s">
        <v>239</v>
      </c>
      <c r="L258" s="18" t="s">
        <v>28</v>
      </c>
      <c r="M258" s="34">
        <v>46009.0</v>
      </c>
      <c r="N258" s="35">
        <v>46112.0</v>
      </c>
      <c r="O258" s="19" t="s">
        <v>1774</v>
      </c>
      <c r="P258" s="19" t="s">
        <v>1775</v>
      </c>
      <c r="Q258" s="12" t="str">
        <f t="shared" si="1"/>
        <v>https://ec.europa.eu/info/funding-tenders/opportunities/portal/screen/opportunities/topic-details/HORIZON-CL5-2026-03-D3-22</v>
      </c>
    </row>
    <row r="259" ht="66.0" customHeight="1">
      <c r="A259" s="4" t="s">
        <v>17</v>
      </c>
      <c r="B259" s="4" t="s">
        <v>18</v>
      </c>
      <c r="C259" s="4" t="s">
        <v>19</v>
      </c>
      <c r="D259" s="5" t="s">
        <v>1498</v>
      </c>
      <c r="E259" s="32" t="s">
        <v>1776</v>
      </c>
      <c r="F259" s="5" t="s">
        <v>1777</v>
      </c>
      <c r="G259" s="5" t="s">
        <v>1778</v>
      </c>
      <c r="H259" s="19"/>
      <c r="I259" s="19" t="s">
        <v>965</v>
      </c>
      <c r="J259" s="19" t="s">
        <v>1779</v>
      </c>
      <c r="K259" s="18" t="s">
        <v>239</v>
      </c>
      <c r="L259" s="18" t="s">
        <v>28</v>
      </c>
      <c r="M259" s="34">
        <v>46238.0</v>
      </c>
      <c r="N259" s="35">
        <v>46357.0</v>
      </c>
      <c r="O259" s="19" t="s">
        <v>1780</v>
      </c>
      <c r="P259" s="19" t="s">
        <v>1781</v>
      </c>
      <c r="Q259" s="12" t="str">
        <f t="shared" si="1"/>
        <v>https://ec.europa.eu/info/funding-tenders/opportunities/portal/screen/opportunities/topic-details/HORIZON-CL5-2026-11-D3-23</v>
      </c>
    </row>
    <row r="260" ht="66.0" customHeight="1">
      <c r="A260" s="4" t="s">
        <v>17</v>
      </c>
      <c r="B260" s="4" t="s">
        <v>18</v>
      </c>
      <c r="C260" s="4" t="s">
        <v>19</v>
      </c>
      <c r="D260" s="5" t="s">
        <v>1498</v>
      </c>
      <c r="E260" s="32" t="s">
        <v>1782</v>
      </c>
      <c r="F260" s="5" t="s">
        <v>1783</v>
      </c>
      <c r="G260" s="5" t="s">
        <v>1784</v>
      </c>
      <c r="H260" s="19"/>
      <c r="I260" s="19" t="s">
        <v>965</v>
      </c>
      <c r="J260" s="19" t="s">
        <v>1785</v>
      </c>
      <c r="K260" s="18" t="s">
        <v>239</v>
      </c>
      <c r="L260" s="18" t="s">
        <v>28</v>
      </c>
      <c r="M260" s="34">
        <v>46359.0</v>
      </c>
      <c r="N260" s="35">
        <v>46477.0</v>
      </c>
      <c r="O260" s="19" t="s">
        <v>1786</v>
      </c>
      <c r="P260" s="19" t="s">
        <v>1787</v>
      </c>
      <c r="Q260" s="12" t="str">
        <f t="shared" si="1"/>
        <v>https://ec.europa.eu/info/funding-tenders/opportunities/portal/screen/opportunities/topic-details/HORIZON-CL5-2027-02-D3-24</v>
      </c>
    </row>
    <row r="261" ht="66.0" customHeight="1">
      <c r="A261" s="4" t="s">
        <v>17</v>
      </c>
      <c r="B261" s="4" t="s">
        <v>18</v>
      </c>
      <c r="C261" s="4" t="s">
        <v>19</v>
      </c>
      <c r="D261" s="5" t="s">
        <v>1498</v>
      </c>
      <c r="E261" s="32" t="s">
        <v>1788</v>
      </c>
      <c r="F261" s="5" t="s">
        <v>1789</v>
      </c>
      <c r="G261" s="5" t="s">
        <v>1790</v>
      </c>
      <c r="H261" s="19"/>
      <c r="I261" s="19" t="s">
        <v>1748</v>
      </c>
      <c r="J261" s="19" t="s">
        <v>1791</v>
      </c>
      <c r="K261" s="18" t="s">
        <v>239</v>
      </c>
      <c r="L261" s="18" t="s">
        <v>28</v>
      </c>
      <c r="M261" s="34">
        <v>46603.0</v>
      </c>
      <c r="N261" s="35">
        <v>46722.0</v>
      </c>
      <c r="O261" s="19" t="s">
        <v>1792</v>
      </c>
      <c r="P261" s="19" t="s">
        <v>1793</v>
      </c>
      <c r="Q261" s="12" t="str">
        <f t="shared" si="1"/>
        <v>https://ec.europa.eu/info/funding-tenders/opportunities/portal/screen/opportunities/topic-details/HORIZON-CL5-2027-07-D3-25</v>
      </c>
    </row>
    <row r="262" ht="66.0" customHeight="1">
      <c r="A262" s="4" t="s">
        <v>17</v>
      </c>
      <c r="B262" s="4" t="s">
        <v>18</v>
      </c>
      <c r="C262" s="4" t="s">
        <v>19</v>
      </c>
      <c r="D262" s="5" t="s">
        <v>1498</v>
      </c>
      <c r="E262" s="32" t="s">
        <v>1794</v>
      </c>
      <c r="F262" s="5" t="s">
        <v>1795</v>
      </c>
      <c r="G262" s="5" t="s">
        <v>1796</v>
      </c>
      <c r="H262" s="19"/>
      <c r="I262" s="19" t="s">
        <v>1748</v>
      </c>
      <c r="J262" s="19" t="s">
        <v>1797</v>
      </c>
      <c r="K262" s="18" t="s">
        <v>239</v>
      </c>
      <c r="L262" s="18" t="s">
        <v>28</v>
      </c>
      <c r="M262" s="34">
        <v>46603.0</v>
      </c>
      <c r="N262" s="35">
        <v>46722.0</v>
      </c>
      <c r="O262" s="19" t="s">
        <v>1798</v>
      </c>
      <c r="P262" s="19" t="s">
        <v>1799</v>
      </c>
      <c r="Q262" s="12" t="str">
        <f t="shared" si="1"/>
        <v>https://ec.europa.eu/info/funding-tenders/opportunities/portal/screen/opportunities/topic-details/HORIZON-CL5-2027-07-D3-26</v>
      </c>
    </row>
    <row r="263" ht="66.0" customHeight="1">
      <c r="A263" s="4" t="s">
        <v>17</v>
      </c>
      <c r="B263" s="4" t="s">
        <v>18</v>
      </c>
      <c r="C263" s="4" t="s">
        <v>19</v>
      </c>
      <c r="D263" s="5" t="s">
        <v>1498</v>
      </c>
      <c r="E263" s="32" t="s">
        <v>1800</v>
      </c>
      <c r="F263" s="5" t="s">
        <v>1801</v>
      </c>
      <c r="G263" s="5" t="s">
        <v>1802</v>
      </c>
      <c r="H263" s="19"/>
      <c r="I263" s="19" t="s">
        <v>1054</v>
      </c>
      <c r="J263" s="19" t="s">
        <v>1803</v>
      </c>
      <c r="K263" s="18" t="s">
        <v>239</v>
      </c>
      <c r="L263" s="18" t="s">
        <v>28</v>
      </c>
      <c r="M263" s="34">
        <v>46603.0</v>
      </c>
      <c r="N263" s="35">
        <v>46722.0</v>
      </c>
      <c r="O263" s="19" t="s">
        <v>1804</v>
      </c>
      <c r="P263" s="19" t="s">
        <v>1805</v>
      </c>
      <c r="Q263" s="12" t="str">
        <f t="shared" si="1"/>
        <v>https://ec.europa.eu/info/funding-tenders/opportunities/portal/screen/opportunities/topic-details/HORIZON-CL5-2027-07-D3-27</v>
      </c>
    </row>
    <row r="264" ht="66.0" customHeight="1">
      <c r="A264" s="4" t="s">
        <v>17</v>
      </c>
      <c r="B264" s="4" t="s">
        <v>18</v>
      </c>
      <c r="C264" s="4" t="s">
        <v>19</v>
      </c>
      <c r="D264" s="5" t="s">
        <v>1498</v>
      </c>
      <c r="E264" s="32" t="s">
        <v>1806</v>
      </c>
      <c r="F264" s="5" t="s">
        <v>1807</v>
      </c>
      <c r="G264" s="5" t="s">
        <v>1808</v>
      </c>
      <c r="H264" s="19"/>
      <c r="I264" s="19" t="s">
        <v>404</v>
      </c>
      <c r="J264" s="19" t="s">
        <v>1809</v>
      </c>
      <c r="K264" s="18" t="s">
        <v>39</v>
      </c>
      <c r="L264" s="18" t="s">
        <v>28</v>
      </c>
      <c r="M264" s="34">
        <v>46603.0</v>
      </c>
      <c r="N264" s="35">
        <v>46722.0</v>
      </c>
      <c r="O264" s="19" t="s">
        <v>1810</v>
      </c>
      <c r="P264" s="19" t="s">
        <v>1811</v>
      </c>
      <c r="Q264" s="12" t="str">
        <f t="shared" si="1"/>
        <v>https://ec.europa.eu/info/funding-tenders/opportunities/portal/screen/opportunities/topic-details/HORIZON-CL5-2027-07-D3-28</v>
      </c>
    </row>
    <row r="265" ht="66.0" customHeight="1">
      <c r="A265" s="4" t="s">
        <v>17</v>
      </c>
      <c r="B265" s="4" t="s">
        <v>18</v>
      </c>
      <c r="C265" s="4" t="s">
        <v>19</v>
      </c>
      <c r="D265" s="5" t="s">
        <v>1498</v>
      </c>
      <c r="E265" s="32" t="s">
        <v>1812</v>
      </c>
      <c r="F265" s="5" t="s">
        <v>1813</v>
      </c>
      <c r="G265" s="5" t="s">
        <v>1814</v>
      </c>
      <c r="H265" s="19"/>
      <c r="I265" s="19" t="s">
        <v>840</v>
      </c>
      <c r="J265" s="19" t="s">
        <v>1815</v>
      </c>
      <c r="K265" s="18" t="s">
        <v>239</v>
      </c>
      <c r="L265" s="18" t="s">
        <v>28</v>
      </c>
      <c r="M265" s="34">
        <v>46009.0</v>
      </c>
      <c r="N265" s="35">
        <v>46112.0</v>
      </c>
      <c r="O265" s="19" t="s">
        <v>1816</v>
      </c>
      <c r="P265" s="19" t="s">
        <v>1817</v>
      </c>
      <c r="Q265" s="12" t="str">
        <f t="shared" si="1"/>
        <v>https://ec.europa.eu/info/funding-tenders/opportunities/portal/screen/opportunities/topic-details/HORIZON-CL5-2026-03-D3-29</v>
      </c>
    </row>
    <row r="266" ht="66.0" customHeight="1">
      <c r="A266" s="4" t="s">
        <v>17</v>
      </c>
      <c r="B266" s="4" t="s">
        <v>18</v>
      </c>
      <c r="C266" s="4" t="s">
        <v>19</v>
      </c>
      <c r="D266" s="5" t="s">
        <v>1498</v>
      </c>
      <c r="E266" s="32" t="s">
        <v>1818</v>
      </c>
      <c r="F266" s="5" t="s">
        <v>1819</v>
      </c>
      <c r="G266" s="5" t="s">
        <v>1820</v>
      </c>
      <c r="H266" s="19"/>
      <c r="I266" s="19" t="s">
        <v>1054</v>
      </c>
      <c r="J266" s="19" t="s">
        <v>1821</v>
      </c>
      <c r="K266" s="18" t="s">
        <v>239</v>
      </c>
      <c r="L266" s="18" t="s">
        <v>28</v>
      </c>
      <c r="M266" s="34">
        <v>46359.0</v>
      </c>
      <c r="N266" s="35">
        <v>46477.0</v>
      </c>
      <c r="O266" s="19" t="s">
        <v>1822</v>
      </c>
      <c r="P266" s="19" t="s">
        <v>1823</v>
      </c>
      <c r="Q266" s="12" t="str">
        <f t="shared" si="1"/>
        <v>https://ec.europa.eu/info/funding-tenders/opportunities/portal/screen/opportunities/topic-details/HORIZON-CL5-2027-02-D3-30</v>
      </c>
    </row>
    <row r="267" ht="66.0" customHeight="1">
      <c r="A267" s="4" t="s">
        <v>17</v>
      </c>
      <c r="B267" s="4" t="s">
        <v>18</v>
      </c>
      <c r="C267" s="4" t="s">
        <v>19</v>
      </c>
      <c r="D267" s="5" t="s">
        <v>1498</v>
      </c>
      <c r="E267" s="32" t="s">
        <v>1824</v>
      </c>
      <c r="F267" s="5" t="s">
        <v>1825</v>
      </c>
      <c r="G267" s="5" t="s">
        <v>1826</v>
      </c>
      <c r="H267" s="19"/>
      <c r="I267" s="19" t="s">
        <v>1556</v>
      </c>
      <c r="J267" s="19" t="s">
        <v>1827</v>
      </c>
      <c r="K267" s="18" t="s">
        <v>39</v>
      </c>
      <c r="L267" s="18" t="s">
        <v>28</v>
      </c>
      <c r="M267" s="34">
        <v>46359.0</v>
      </c>
      <c r="N267" s="35">
        <v>46477.0</v>
      </c>
      <c r="O267" s="19" t="s">
        <v>1828</v>
      </c>
      <c r="P267" s="19" t="s">
        <v>1829</v>
      </c>
      <c r="Q267" s="12" t="str">
        <f t="shared" si="1"/>
        <v>https://ec.europa.eu/info/funding-tenders/opportunities/portal/screen/opportunities/topic-details/HORIZON-CL5-2027-02-D3-31</v>
      </c>
    </row>
    <row r="268" ht="66.0" customHeight="1">
      <c r="A268" s="4" t="s">
        <v>17</v>
      </c>
      <c r="B268" s="4" t="s">
        <v>18</v>
      </c>
      <c r="C268" s="4" t="s">
        <v>19</v>
      </c>
      <c r="D268" s="5" t="s">
        <v>1498</v>
      </c>
      <c r="E268" s="32" t="s">
        <v>1830</v>
      </c>
      <c r="F268" s="5" t="s">
        <v>1831</v>
      </c>
      <c r="G268" s="5" t="s">
        <v>1832</v>
      </c>
      <c r="H268" s="19" t="s">
        <v>1833</v>
      </c>
      <c r="I268" s="19" t="s">
        <v>1834</v>
      </c>
      <c r="J268" s="19" t="s">
        <v>1835</v>
      </c>
      <c r="K268" s="18" t="s">
        <v>239</v>
      </c>
      <c r="L268" s="18" t="s">
        <v>28</v>
      </c>
      <c r="M268" s="34">
        <v>46603.0</v>
      </c>
      <c r="N268" s="35">
        <v>46722.0</v>
      </c>
      <c r="O268" s="19" t="s">
        <v>1836</v>
      </c>
      <c r="P268" s="19" t="s">
        <v>1837</v>
      </c>
      <c r="Q268" s="12" t="str">
        <f t="shared" si="1"/>
        <v>https://ec.europa.eu/info/funding-tenders/opportunities/portal/screen/opportunities/topic-details/HORIZON-CL5-2027-07-D3-32</v>
      </c>
    </row>
    <row r="269" ht="66.0" customHeight="1">
      <c r="A269" s="4" t="s">
        <v>17</v>
      </c>
      <c r="B269" s="4" t="s">
        <v>18</v>
      </c>
      <c r="C269" s="4" t="s">
        <v>19</v>
      </c>
      <c r="D269" s="5" t="s">
        <v>1498</v>
      </c>
      <c r="E269" s="32" t="s">
        <v>1838</v>
      </c>
      <c r="F269" s="5" t="s">
        <v>1839</v>
      </c>
      <c r="G269" s="5" t="s">
        <v>1840</v>
      </c>
      <c r="H269" s="19" t="s">
        <v>1841</v>
      </c>
      <c r="I269" s="19" t="s">
        <v>614</v>
      </c>
      <c r="J269" s="19" t="s">
        <v>1842</v>
      </c>
      <c r="K269" s="18" t="s">
        <v>27</v>
      </c>
      <c r="L269" s="18" t="s">
        <v>28</v>
      </c>
      <c r="M269" s="34">
        <v>46147.0</v>
      </c>
      <c r="N269" s="35">
        <v>46280.0</v>
      </c>
      <c r="O269" s="19" t="s">
        <v>1843</v>
      </c>
      <c r="P269" s="19" t="s">
        <v>1844</v>
      </c>
      <c r="Q269" s="12" t="str">
        <f t="shared" si="1"/>
        <v>https://ec.europa.eu/info/funding-tenders/opportunities/portal/screen/opportunities/topic-details/HORIZON-CL5-2026-09-D4-01</v>
      </c>
    </row>
    <row r="270" ht="66.0" customHeight="1">
      <c r="A270" s="4" t="s">
        <v>17</v>
      </c>
      <c r="B270" s="4" t="s">
        <v>18</v>
      </c>
      <c r="C270" s="4" t="s">
        <v>19</v>
      </c>
      <c r="D270" s="5" t="s">
        <v>1498</v>
      </c>
      <c r="E270" s="32" t="s">
        <v>1845</v>
      </c>
      <c r="F270" s="5" t="s">
        <v>1846</v>
      </c>
      <c r="G270" s="5" t="s">
        <v>1847</v>
      </c>
      <c r="H270" s="19"/>
      <c r="I270" s="19" t="s">
        <v>833</v>
      </c>
      <c r="J270" s="19" t="s">
        <v>1848</v>
      </c>
      <c r="K270" s="18" t="s">
        <v>239</v>
      </c>
      <c r="L270" s="18" t="s">
        <v>28</v>
      </c>
      <c r="M270" s="34">
        <v>46147.0</v>
      </c>
      <c r="N270" s="35">
        <v>46280.0</v>
      </c>
      <c r="O270" s="19" t="s">
        <v>1849</v>
      </c>
      <c r="P270" s="19" t="s">
        <v>1850</v>
      </c>
      <c r="Q270" s="12" t="str">
        <f t="shared" si="1"/>
        <v>https://ec.europa.eu/info/funding-tenders/opportunities/portal/screen/opportunities/topic-details/HORIZON-CL5-2026-09-D4-02</v>
      </c>
    </row>
    <row r="271" ht="66.0" customHeight="1">
      <c r="A271" s="4" t="s">
        <v>17</v>
      </c>
      <c r="B271" s="4" t="s">
        <v>18</v>
      </c>
      <c r="C271" s="4" t="s">
        <v>19</v>
      </c>
      <c r="D271" s="5" t="s">
        <v>1498</v>
      </c>
      <c r="E271" s="32" t="s">
        <v>1851</v>
      </c>
      <c r="F271" s="5" t="s">
        <v>1852</v>
      </c>
      <c r="G271" s="5" t="s">
        <v>1853</v>
      </c>
      <c r="H271" s="19"/>
      <c r="I271" s="19" t="s">
        <v>826</v>
      </c>
      <c r="J271" s="19" t="s">
        <v>1854</v>
      </c>
      <c r="K271" s="18" t="s">
        <v>239</v>
      </c>
      <c r="L271" s="18" t="s">
        <v>28</v>
      </c>
      <c r="M271" s="34">
        <v>46147.0</v>
      </c>
      <c r="N271" s="35">
        <v>46280.0</v>
      </c>
      <c r="O271" s="19" t="s">
        <v>1855</v>
      </c>
      <c r="P271" s="19" t="s">
        <v>1856</v>
      </c>
      <c r="Q271" s="12" t="str">
        <f t="shared" si="1"/>
        <v>https://ec.europa.eu/info/funding-tenders/opportunities/portal/screen/opportunities/topic-details/HORIZON-CL5-2026-09-D4-03</v>
      </c>
    </row>
    <row r="272" ht="66.0" customHeight="1">
      <c r="A272" s="4" t="s">
        <v>17</v>
      </c>
      <c r="B272" s="4" t="s">
        <v>18</v>
      </c>
      <c r="C272" s="4" t="s">
        <v>19</v>
      </c>
      <c r="D272" s="5" t="s">
        <v>1498</v>
      </c>
      <c r="E272" s="32" t="s">
        <v>1857</v>
      </c>
      <c r="F272" s="5" t="s">
        <v>1858</v>
      </c>
      <c r="G272" s="5" t="s">
        <v>1859</v>
      </c>
      <c r="H272" s="19"/>
      <c r="I272" s="19" t="s">
        <v>1556</v>
      </c>
      <c r="J272" s="19" t="s">
        <v>1860</v>
      </c>
      <c r="K272" s="18" t="s">
        <v>27</v>
      </c>
      <c r="L272" s="18" t="s">
        <v>28</v>
      </c>
      <c r="M272" s="34">
        <v>46147.0</v>
      </c>
      <c r="N272" s="35">
        <v>46280.0</v>
      </c>
      <c r="O272" s="19" t="s">
        <v>1861</v>
      </c>
      <c r="P272" s="19" t="s">
        <v>1862</v>
      </c>
      <c r="Q272" s="12" t="str">
        <f t="shared" si="1"/>
        <v>https://ec.europa.eu/info/funding-tenders/opportunities/portal/screen/opportunities/topic-details/HORIZON-CL5-2026-09-D4-04</v>
      </c>
    </row>
    <row r="273" ht="66.0" customHeight="1">
      <c r="A273" s="4" t="s">
        <v>17</v>
      </c>
      <c r="B273" s="4" t="s">
        <v>18</v>
      </c>
      <c r="C273" s="4" t="s">
        <v>19</v>
      </c>
      <c r="D273" s="5" t="s">
        <v>1498</v>
      </c>
      <c r="E273" s="32" t="s">
        <v>1863</v>
      </c>
      <c r="F273" s="5" t="s">
        <v>1864</v>
      </c>
      <c r="G273" s="5" t="s">
        <v>1865</v>
      </c>
      <c r="H273" s="19"/>
      <c r="I273" s="19" t="s">
        <v>847</v>
      </c>
      <c r="J273" s="19" t="s">
        <v>1866</v>
      </c>
      <c r="K273" s="18" t="s">
        <v>239</v>
      </c>
      <c r="L273" s="18" t="s">
        <v>28</v>
      </c>
      <c r="M273" s="34">
        <v>46512.0</v>
      </c>
      <c r="N273" s="35">
        <v>46645.0</v>
      </c>
      <c r="O273" s="19" t="s">
        <v>1867</v>
      </c>
      <c r="P273" s="19" t="s">
        <v>1868</v>
      </c>
      <c r="Q273" s="12" t="str">
        <f t="shared" si="1"/>
        <v>https://ec.europa.eu/info/funding-tenders/opportunities/portal/screen/opportunities/topic-details/HORIZON-CL5-2027-05-D4-05</v>
      </c>
    </row>
    <row r="274" ht="66.0" customHeight="1">
      <c r="A274" s="4" t="s">
        <v>17</v>
      </c>
      <c r="B274" s="4" t="s">
        <v>18</v>
      </c>
      <c r="C274" s="4" t="s">
        <v>19</v>
      </c>
      <c r="D274" s="5" t="s">
        <v>1498</v>
      </c>
      <c r="E274" s="32" t="s">
        <v>1869</v>
      </c>
      <c r="F274" s="5" t="s">
        <v>1870</v>
      </c>
      <c r="G274" s="5" t="s">
        <v>1871</v>
      </c>
      <c r="H274" s="19"/>
      <c r="I274" s="19" t="s">
        <v>1163</v>
      </c>
      <c r="J274" s="19" t="s">
        <v>1872</v>
      </c>
      <c r="K274" s="18" t="s">
        <v>239</v>
      </c>
      <c r="L274" s="18" t="s">
        <v>28</v>
      </c>
      <c r="M274" s="34">
        <v>46512.0</v>
      </c>
      <c r="N274" s="35">
        <v>46645.0</v>
      </c>
      <c r="O274" s="19" t="s">
        <v>1873</v>
      </c>
      <c r="P274" s="19" t="s">
        <v>1874</v>
      </c>
      <c r="Q274" s="12" t="str">
        <f t="shared" si="1"/>
        <v>https://ec.europa.eu/info/funding-tenders/opportunities/portal/screen/opportunities/topic-details/HORIZON-CL5-2027-05-D4-06</v>
      </c>
    </row>
    <row r="275" ht="66.0" customHeight="1">
      <c r="A275" s="4" t="s">
        <v>17</v>
      </c>
      <c r="B275" s="4" t="s">
        <v>18</v>
      </c>
      <c r="C275" s="4" t="s">
        <v>19</v>
      </c>
      <c r="D275" s="5" t="s">
        <v>1498</v>
      </c>
      <c r="E275" s="32" t="s">
        <v>1875</v>
      </c>
      <c r="F275" s="5" t="s">
        <v>1876</v>
      </c>
      <c r="G275" s="5" t="s">
        <v>1877</v>
      </c>
      <c r="H275" s="19"/>
      <c r="I275" s="19" t="s">
        <v>833</v>
      </c>
      <c r="J275" s="19" t="s">
        <v>1878</v>
      </c>
      <c r="K275" s="18" t="s">
        <v>239</v>
      </c>
      <c r="L275" s="18" t="s">
        <v>28</v>
      </c>
      <c r="M275" s="34">
        <v>46512.0</v>
      </c>
      <c r="N275" s="35">
        <v>46645.0</v>
      </c>
      <c r="O275" s="19" t="s">
        <v>1879</v>
      </c>
      <c r="P275" s="19" t="s">
        <v>1880</v>
      </c>
      <c r="Q275" s="12" t="str">
        <f t="shared" si="1"/>
        <v>https://ec.europa.eu/info/funding-tenders/opportunities/portal/screen/opportunities/topic-details/HORIZON-CL5-2027-05-D4-07</v>
      </c>
    </row>
    <row r="276" ht="66.0" customHeight="1">
      <c r="A276" s="4" t="s">
        <v>17</v>
      </c>
      <c r="B276" s="4" t="s">
        <v>18</v>
      </c>
      <c r="C276" s="4" t="s">
        <v>19</v>
      </c>
      <c r="D276" s="5" t="s">
        <v>1498</v>
      </c>
      <c r="E276" s="32" t="s">
        <v>1881</v>
      </c>
      <c r="F276" s="5" t="s">
        <v>1882</v>
      </c>
      <c r="G276" s="5" t="s">
        <v>1883</v>
      </c>
      <c r="H276" s="19"/>
      <c r="I276" s="19" t="s">
        <v>1163</v>
      </c>
      <c r="J276" s="19" t="s">
        <v>1884</v>
      </c>
      <c r="K276" s="18" t="s">
        <v>239</v>
      </c>
      <c r="L276" s="18" t="s">
        <v>28</v>
      </c>
      <c r="M276" s="34">
        <v>46147.0</v>
      </c>
      <c r="N276" s="35">
        <v>46280.0</v>
      </c>
      <c r="O276" s="19" t="s">
        <v>1885</v>
      </c>
      <c r="P276" s="19" t="s">
        <v>1886</v>
      </c>
      <c r="Q276" s="12" t="str">
        <f t="shared" si="1"/>
        <v>https://ec.europa.eu/info/funding-tenders/opportunities/portal/screen/opportunities/topic-details/HORIZON-CL5-2026-09-D4-08</v>
      </c>
    </row>
    <row r="277" ht="66.0" customHeight="1">
      <c r="A277" s="4" t="s">
        <v>17</v>
      </c>
      <c r="B277" s="4" t="s">
        <v>18</v>
      </c>
      <c r="C277" s="4" t="s">
        <v>19</v>
      </c>
      <c r="D277" s="5" t="s">
        <v>1498</v>
      </c>
      <c r="E277" s="32" t="s">
        <v>1887</v>
      </c>
      <c r="F277" s="5" t="s">
        <v>1888</v>
      </c>
      <c r="G277" s="5" t="s">
        <v>1889</v>
      </c>
      <c r="H277" s="19"/>
      <c r="I277" s="19" t="s">
        <v>1087</v>
      </c>
      <c r="J277" s="19" t="s">
        <v>1890</v>
      </c>
      <c r="K277" s="18" t="s">
        <v>239</v>
      </c>
      <c r="L277" s="18" t="s">
        <v>28</v>
      </c>
      <c r="M277" s="34">
        <v>46512.0</v>
      </c>
      <c r="N277" s="35">
        <v>46645.0</v>
      </c>
      <c r="O277" s="19" t="s">
        <v>1891</v>
      </c>
      <c r="P277" s="19" t="s">
        <v>1892</v>
      </c>
      <c r="Q277" s="12" t="str">
        <f t="shared" si="1"/>
        <v>https://ec.europa.eu/info/funding-tenders/opportunities/portal/screen/opportunities/topic-details/HORIZON-CL5-2027-05-D4-09</v>
      </c>
    </row>
    <row r="278" ht="66.0" customHeight="1">
      <c r="A278" s="4" t="s">
        <v>17</v>
      </c>
      <c r="B278" s="4" t="s">
        <v>18</v>
      </c>
      <c r="C278" s="4" t="s">
        <v>19</v>
      </c>
      <c r="D278" s="5" t="s">
        <v>1498</v>
      </c>
      <c r="E278" s="32" t="s">
        <v>1893</v>
      </c>
      <c r="F278" s="5" t="s">
        <v>1894</v>
      </c>
      <c r="G278" s="5" t="s">
        <v>1895</v>
      </c>
      <c r="H278" s="19"/>
      <c r="I278" s="19" t="s">
        <v>833</v>
      </c>
      <c r="J278" s="19" t="s">
        <v>1896</v>
      </c>
      <c r="K278" s="18" t="s">
        <v>239</v>
      </c>
      <c r="L278" s="18" t="s">
        <v>28</v>
      </c>
      <c r="M278" s="34">
        <v>46009.0</v>
      </c>
      <c r="N278" s="35">
        <v>46126.0</v>
      </c>
      <c r="O278" s="19" t="s">
        <v>1897</v>
      </c>
      <c r="P278" s="19" t="s">
        <v>1898</v>
      </c>
      <c r="Q278" s="12" t="str">
        <f t="shared" si="1"/>
        <v>https://ec.europa.eu/info/funding-tenders/opportunities/portal/screen/opportunities/topic-details/HORIZON-CL5-2026-05-D5-01</v>
      </c>
    </row>
    <row r="279" ht="66.0" customHeight="1">
      <c r="A279" s="4" t="s">
        <v>17</v>
      </c>
      <c r="B279" s="4" t="s">
        <v>18</v>
      </c>
      <c r="C279" s="4" t="s">
        <v>19</v>
      </c>
      <c r="D279" s="5" t="s">
        <v>1498</v>
      </c>
      <c r="E279" s="32" t="s">
        <v>1899</v>
      </c>
      <c r="F279" s="5" t="s">
        <v>1900</v>
      </c>
      <c r="G279" s="5" t="s">
        <v>1901</v>
      </c>
      <c r="H279" s="19"/>
      <c r="I279" s="19" t="s">
        <v>826</v>
      </c>
      <c r="J279" s="19" t="s">
        <v>1902</v>
      </c>
      <c r="K279" s="18" t="s">
        <v>239</v>
      </c>
      <c r="L279" s="18" t="s">
        <v>28</v>
      </c>
      <c r="M279" s="34">
        <v>46009.0</v>
      </c>
      <c r="N279" s="35">
        <v>46126.0</v>
      </c>
      <c r="O279" s="19" t="s">
        <v>1903</v>
      </c>
      <c r="P279" s="19" t="s">
        <v>1904</v>
      </c>
      <c r="Q279" s="12" t="str">
        <f t="shared" si="1"/>
        <v>https://ec.europa.eu/info/funding-tenders/opportunities/portal/screen/opportunities/topic-details/HORIZON-CL5-2026-05-D5-02</v>
      </c>
    </row>
    <row r="280" ht="66.0" customHeight="1">
      <c r="A280" s="4" t="s">
        <v>17</v>
      </c>
      <c r="B280" s="4" t="s">
        <v>18</v>
      </c>
      <c r="C280" s="4" t="s">
        <v>19</v>
      </c>
      <c r="D280" s="5" t="s">
        <v>1498</v>
      </c>
      <c r="E280" s="32" t="s">
        <v>1905</v>
      </c>
      <c r="F280" s="5" t="s">
        <v>1906</v>
      </c>
      <c r="G280" s="5" t="s">
        <v>1907</v>
      </c>
      <c r="H280" s="19"/>
      <c r="I280" s="19" t="s">
        <v>1226</v>
      </c>
      <c r="J280" s="19" t="s">
        <v>1908</v>
      </c>
      <c r="K280" s="18" t="s">
        <v>239</v>
      </c>
      <c r="L280" s="18" t="s">
        <v>28</v>
      </c>
      <c r="M280" s="34">
        <v>46371.0</v>
      </c>
      <c r="N280" s="35">
        <v>46491.0</v>
      </c>
      <c r="O280" s="19" t="s">
        <v>1909</v>
      </c>
      <c r="P280" s="19" t="s">
        <v>1910</v>
      </c>
      <c r="Q280" s="12" t="str">
        <f t="shared" si="1"/>
        <v>https://ec.europa.eu/info/funding-tenders/opportunities/portal/screen/opportunities/topic-details/HORIZON-CL5-2027-03-D5-03</v>
      </c>
    </row>
    <row r="281" ht="66.0" customHeight="1">
      <c r="A281" s="4" t="s">
        <v>17</v>
      </c>
      <c r="B281" s="4" t="s">
        <v>18</v>
      </c>
      <c r="C281" s="4" t="s">
        <v>19</v>
      </c>
      <c r="D281" s="5" t="s">
        <v>1498</v>
      </c>
      <c r="E281" s="32" t="s">
        <v>1911</v>
      </c>
      <c r="F281" s="5" t="s">
        <v>1912</v>
      </c>
      <c r="G281" s="5" t="s">
        <v>1913</v>
      </c>
      <c r="H281" s="19"/>
      <c r="I281" s="19" t="s">
        <v>833</v>
      </c>
      <c r="J281" s="19" t="s">
        <v>1914</v>
      </c>
      <c r="K281" s="18" t="s">
        <v>239</v>
      </c>
      <c r="L281" s="18" t="s">
        <v>28</v>
      </c>
      <c r="M281" s="34">
        <v>46371.0</v>
      </c>
      <c r="N281" s="35">
        <v>46491.0</v>
      </c>
      <c r="O281" s="19" t="s">
        <v>1915</v>
      </c>
      <c r="P281" s="19" t="s">
        <v>1916</v>
      </c>
      <c r="Q281" s="12" t="str">
        <f t="shared" si="1"/>
        <v>https://ec.europa.eu/info/funding-tenders/opportunities/portal/screen/opportunities/topic-details/HORIZON-CL5-2027-03-D5-04</v>
      </c>
    </row>
    <row r="282" ht="66.0" customHeight="1">
      <c r="A282" s="4" t="s">
        <v>17</v>
      </c>
      <c r="B282" s="4" t="s">
        <v>18</v>
      </c>
      <c r="C282" s="4" t="s">
        <v>19</v>
      </c>
      <c r="D282" s="5" t="s">
        <v>1498</v>
      </c>
      <c r="E282" s="32" t="s">
        <v>1917</v>
      </c>
      <c r="F282" s="5" t="s">
        <v>1918</v>
      </c>
      <c r="G282" s="5" t="s">
        <v>1919</v>
      </c>
      <c r="H282" s="19"/>
      <c r="I282" s="19" t="s">
        <v>847</v>
      </c>
      <c r="J282" s="19" t="s">
        <v>1920</v>
      </c>
      <c r="K282" s="18" t="s">
        <v>239</v>
      </c>
      <c r="L282" s="18" t="s">
        <v>28</v>
      </c>
      <c r="M282" s="34">
        <v>46371.0</v>
      </c>
      <c r="N282" s="35">
        <v>46491.0</v>
      </c>
      <c r="O282" s="19" t="s">
        <v>1921</v>
      </c>
      <c r="P282" s="19" t="s">
        <v>1922</v>
      </c>
      <c r="Q282" s="12" t="str">
        <f t="shared" si="1"/>
        <v>https://ec.europa.eu/info/funding-tenders/opportunities/portal/screen/opportunities/topic-details/HORIZON-CL5-2027-03-D5-05</v>
      </c>
    </row>
    <row r="283" ht="66.0" customHeight="1">
      <c r="A283" s="4" t="s">
        <v>17</v>
      </c>
      <c r="B283" s="4" t="s">
        <v>18</v>
      </c>
      <c r="C283" s="4" t="s">
        <v>19</v>
      </c>
      <c r="D283" s="5" t="s">
        <v>1498</v>
      </c>
      <c r="E283" s="32" t="s">
        <v>1923</v>
      </c>
      <c r="F283" s="5" t="s">
        <v>1924</v>
      </c>
      <c r="G283" s="5" t="s">
        <v>1925</v>
      </c>
      <c r="H283" s="19" t="s">
        <v>1926</v>
      </c>
      <c r="I283" s="19" t="s">
        <v>1834</v>
      </c>
      <c r="J283" s="19" t="s">
        <v>1927</v>
      </c>
      <c r="K283" s="18" t="s">
        <v>239</v>
      </c>
      <c r="L283" s="18" t="s">
        <v>28</v>
      </c>
      <c r="M283" s="34">
        <v>46371.0</v>
      </c>
      <c r="N283" s="35">
        <v>46491.0</v>
      </c>
      <c r="O283" s="19" t="s">
        <v>1928</v>
      </c>
      <c r="P283" s="19" t="s">
        <v>1929</v>
      </c>
      <c r="Q283" s="12" t="str">
        <f t="shared" si="1"/>
        <v>https://ec.europa.eu/info/funding-tenders/opportunities/portal/screen/opportunities/topic-details/HORIZON-CL5-2027-03-D5-06</v>
      </c>
    </row>
    <row r="284" ht="66.0" customHeight="1">
      <c r="A284" s="4" t="s">
        <v>17</v>
      </c>
      <c r="B284" s="4" t="s">
        <v>18</v>
      </c>
      <c r="C284" s="4" t="s">
        <v>19</v>
      </c>
      <c r="D284" s="5" t="s">
        <v>1498</v>
      </c>
      <c r="E284" s="32" t="s">
        <v>1930</v>
      </c>
      <c r="F284" s="5" t="s">
        <v>1931</v>
      </c>
      <c r="G284" s="5" t="s">
        <v>1932</v>
      </c>
      <c r="H284" s="19"/>
      <c r="I284" s="19" t="s">
        <v>1226</v>
      </c>
      <c r="J284" s="19" t="s">
        <v>1933</v>
      </c>
      <c r="K284" s="18" t="s">
        <v>27</v>
      </c>
      <c r="L284" s="18" t="s">
        <v>28</v>
      </c>
      <c r="M284" s="34">
        <v>46009.0</v>
      </c>
      <c r="N284" s="35">
        <v>46126.0</v>
      </c>
      <c r="O284" s="19" t="s">
        <v>1934</v>
      </c>
      <c r="P284" s="19" t="s">
        <v>1935</v>
      </c>
      <c r="Q284" s="12" t="str">
        <f t="shared" si="1"/>
        <v>https://ec.europa.eu/info/funding-tenders/opportunities/portal/screen/opportunities/topic-details/HORIZON-CL5-2026-05-D5-07</v>
      </c>
    </row>
    <row r="285" ht="66.0" customHeight="1">
      <c r="A285" s="4" t="s">
        <v>17</v>
      </c>
      <c r="B285" s="4" t="s">
        <v>18</v>
      </c>
      <c r="C285" s="4" t="s">
        <v>19</v>
      </c>
      <c r="D285" s="5" t="s">
        <v>1498</v>
      </c>
      <c r="E285" s="32" t="s">
        <v>1936</v>
      </c>
      <c r="F285" s="5" t="s">
        <v>1937</v>
      </c>
      <c r="G285" s="5" t="s">
        <v>1938</v>
      </c>
      <c r="H285" s="19"/>
      <c r="I285" s="19" t="s">
        <v>895</v>
      </c>
      <c r="J285" s="19" t="s">
        <v>1939</v>
      </c>
      <c r="K285" s="18" t="s">
        <v>27</v>
      </c>
      <c r="L285" s="18" t="s">
        <v>28</v>
      </c>
      <c r="M285" s="34">
        <v>46371.0</v>
      </c>
      <c r="N285" s="35">
        <v>46491.0</v>
      </c>
      <c r="O285" s="19" t="s">
        <v>1940</v>
      </c>
      <c r="P285" s="19" t="s">
        <v>1941</v>
      </c>
      <c r="Q285" s="12" t="str">
        <f t="shared" si="1"/>
        <v>https://ec.europa.eu/info/funding-tenders/opportunities/portal/screen/opportunities/topic-details/HORIZON-CL5-2027-03-D5-08</v>
      </c>
    </row>
    <row r="286" ht="66.0" customHeight="1">
      <c r="A286" s="4" t="s">
        <v>17</v>
      </c>
      <c r="B286" s="4" t="s">
        <v>18</v>
      </c>
      <c r="C286" s="4" t="s">
        <v>19</v>
      </c>
      <c r="D286" s="5" t="s">
        <v>1498</v>
      </c>
      <c r="E286" s="32" t="s">
        <v>1942</v>
      </c>
      <c r="F286" s="5" t="s">
        <v>1943</v>
      </c>
      <c r="G286" s="5" t="s">
        <v>1944</v>
      </c>
      <c r="H286" s="19"/>
      <c r="I286" s="19" t="s">
        <v>1945</v>
      </c>
      <c r="J286" s="19" t="s">
        <v>1946</v>
      </c>
      <c r="K286" s="18" t="s">
        <v>27</v>
      </c>
      <c r="L286" s="18" t="s">
        <v>157</v>
      </c>
      <c r="M286" s="34">
        <v>46371.0</v>
      </c>
      <c r="N286" s="35" t="s">
        <v>1629</v>
      </c>
      <c r="O286" s="19" t="s">
        <v>1947</v>
      </c>
      <c r="P286" s="19" t="s">
        <v>1948</v>
      </c>
      <c r="Q286" s="12" t="str">
        <f t="shared" si="1"/>
        <v>https://ec.europa.eu/info/funding-tenders/opportunities/portal/screen/opportunities/topic-details/HORIZON-CL5-2027-04-Two-Stage-D5-09</v>
      </c>
    </row>
    <row r="287" ht="66.0" customHeight="1">
      <c r="A287" s="4" t="s">
        <v>17</v>
      </c>
      <c r="B287" s="4" t="s">
        <v>18</v>
      </c>
      <c r="C287" s="4" t="s">
        <v>19</v>
      </c>
      <c r="D287" s="5" t="s">
        <v>1498</v>
      </c>
      <c r="E287" s="32" t="s">
        <v>1949</v>
      </c>
      <c r="F287" s="5" t="s">
        <v>1950</v>
      </c>
      <c r="G287" s="5" t="s">
        <v>1951</v>
      </c>
      <c r="H287" s="19"/>
      <c r="I287" s="19" t="s">
        <v>895</v>
      </c>
      <c r="J287" s="19" t="s">
        <v>1952</v>
      </c>
      <c r="K287" s="18" t="s">
        <v>27</v>
      </c>
      <c r="L287" s="18" t="s">
        <v>157</v>
      </c>
      <c r="M287" s="34">
        <v>46009.0</v>
      </c>
      <c r="N287" s="35" t="s">
        <v>1953</v>
      </c>
      <c r="O287" s="19" t="s">
        <v>1954</v>
      </c>
      <c r="P287" s="19" t="s">
        <v>1955</v>
      </c>
      <c r="Q287" s="12" t="str">
        <f t="shared" si="1"/>
        <v>https://ec.europa.eu/info/funding-tenders/opportunities/portal/screen/opportunities/topic-details/HORIZON-CL5-2026-06-Two-Stage-D5-10</v>
      </c>
    </row>
    <row r="288" ht="66.0" customHeight="1">
      <c r="A288" s="4" t="s">
        <v>17</v>
      </c>
      <c r="B288" s="4" t="s">
        <v>18</v>
      </c>
      <c r="C288" s="4" t="s">
        <v>19</v>
      </c>
      <c r="D288" s="5" t="s">
        <v>1498</v>
      </c>
      <c r="E288" s="32" t="s">
        <v>1956</v>
      </c>
      <c r="F288" s="5" t="s">
        <v>1957</v>
      </c>
      <c r="G288" s="5" t="s">
        <v>1958</v>
      </c>
      <c r="H288" s="19"/>
      <c r="I288" s="19" t="s">
        <v>833</v>
      </c>
      <c r="J288" s="19" t="s">
        <v>1959</v>
      </c>
      <c r="K288" s="18" t="s">
        <v>239</v>
      </c>
      <c r="L288" s="18" t="s">
        <v>28</v>
      </c>
      <c r="M288" s="34">
        <v>46009.0</v>
      </c>
      <c r="N288" s="35">
        <v>46126.0</v>
      </c>
      <c r="O288" s="19" t="s">
        <v>1960</v>
      </c>
      <c r="P288" s="19" t="s">
        <v>1961</v>
      </c>
      <c r="Q288" s="12" t="str">
        <f t="shared" si="1"/>
        <v>https://ec.europa.eu/info/funding-tenders/opportunities/portal/screen/opportunities/topic-details/HORIZON-CL5-2026-05-D5-11</v>
      </c>
    </row>
    <row r="289" ht="66.0" customHeight="1">
      <c r="A289" s="4" t="s">
        <v>17</v>
      </c>
      <c r="B289" s="4" t="s">
        <v>18</v>
      </c>
      <c r="C289" s="4" t="s">
        <v>19</v>
      </c>
      <c r="D289" s="5" t="s">
        <v>1498</v>
      </c>
      <c r="E289" s="32" t="s">
        <v>1962</v>
      </c>
      <c r="F289" s="5" t="s">
        <v>1963</v>
      </c>
      <c r="G289" s="5" t="s">
        <v>1964</v>
      </c>
      <c r="H289" s="19"/>
      <c r="I289" s="19" t="s">
        <v>1087</v>
      </c>
      <c r="J289" s="19" t="s">
        <v>1965</v>
      </c>
      <c r="K289" s="18" t="s">
        <v>239</v>
      </c>
      <c r="L289" s="18" t="s">
        <v>28</v>
      </c>
      <c r="M289" s="34">
        <v>46009.0</v>
      </c>
      <c r="N289" s="35">
        <v>46126.0</v>
      </c>
      <c r="O289" s="19" t="s">
        <v>1966</v>
      </c>
      <c r="P289" s="19" t="s">
        <v>1967</v>
      </c>
      <c r="Q289" s="12" t="str">
        <f t="shared" si="1"/>
        <v>https://ec.europa.eu/info/funding-tenders/opportunities/portal/screen/opportunities/topic-details/HORIZON-CL5-2026-05-D5-12</v>
      </c>
    </row>
    <row r="290" ht="66.0" customHeight="1">
      <c r="A290" s="4" t="s">
        <v>17</v>
      </c>
      <c r="B290" s="4" t="s">
        <v>18</v>
      </c>
      <c r="C290" s="4" t="s">
        <v>19</v>
      </c>
      <c r="D290" s="5" t="s">
        <v>1498</v>
      </c>
      <c r="E290" s="32" t="s">
        <v>1968</v>
      </c>
      <c r="F290" s="5" t="s">
        <v>1969</v>
      </c>
      <c r="G290" s="5" t="s">
        <v>1970</v>
      </c>
      <c r="H290" s="19"/>
      <c r="I290" s="19" t="s">
        <v>881</v>
      </c>
      <c r="J290" s="19" t="s">
        <v>1971</v>
      </c>
      <c r="K290" s="18" t="s">
        <v>39</v>
      </c>
      <c r="L290" s="18" t="s">
        <v>28</v>
      </c>
      <c r="M290" s="34">
        <v>46009.0</v>
      </c>
      <c r="N290" s="35">
        <v>46126.0</v>
      </c>
      <c r="O290" s="19" t="s">
        <v>1972</v>
      </c>
      <c r="P290" s="19" t="s">
        <v>1973</v>
      </c>
      <c r="Q290" s="12" t="str">
        <f t="shared" si="1"/>
        <v>https://ec.europa.eu/info/funding-tenders/opportunities/portal/screen/opportunities/topic-details/HORIZON-CL5-2026-05-D5-13</v>
      </c>
    </row>
    <row r="291" ht="66.0" customHeight="1">
      <c r="A291" s="4" t="s">
        <v>17</v>
      </c>
      <c r="B291" s="4" t="s">
        <v>18</v>
      </c>
      <c r="C291" s="4" t="s">
        <v>19</v>
      </c>
      <c r="D291" s="5" t="s">
        <v>1498</v>
      </c>
      <c r="E291" s="32" t="s">
        <v>1974</v>
      </c>
      <c r="F291" s="5" t="s">
        <v>1975</v>
      </c>
      <c r="G291" s="5" t="s">
        <v>1976</v>
      </c>
      <c r="H291" s="19"/>
      <c r="I291" s="19" t="s">
        <v>1087</v>
      </c>
      <c r="J291" s="19" t="s">
        <v>1977</v>
      </c>
      <c r="K291" s="18" t="s">
        <v>239</v>
      </c>
      <c r="L291" s="18" t="s">
        <v>28</v>
      </c>
      <c r="M291" s="34">
        <v>46371.0</v>
      </c>
      <c r="N291" s="35">
        <v>46491.0</v>
      </c>
      <c r="O291" s="19" t="s">
        <v>1978</v>
      </c>
      <c r="P291" s="19" t="s">
        <v>1979</v>
      </c>
      <c r="Q291" s="12" t="str">
        <f t="shared" si="1"/>
        <v>https://ec.europa.eu/info/funding-tenders/opportunities/portal/screen/opportunities/topic-details/HORIZON-CL5-2027-03-D5-14</v>
      </c>
    </row>
    <row r="292" ht="66.0" customHeight="1">
      <c r="A292" s="4" t="s">
        <v>17</v>
      </c>
      <c r="B292" s="4" t="s">
        <v>18</v>
      </c>
      <c r="C292" s="4" t="s">
        <v>19</v>
      </c>
      <c r="D292" s="5" t="s">
        <v>1498</v>
      </c>
      <c r="E292" s="32" t="s">
        <v>1980</v>
      </c>
      <c r="F292" s="5" t="s">
        <v>1981</v>
      </c>
      <c r="G292" s="5" t="s">
        <v>1982</v>
      </c>
      <c r="H292" s="19"/>
      <c r="I292" s="19" t="s">
        <v>1983</v>
      </c>
      <c r="J292" s="19" t="s">
        <v>1984</v>
      </c>
      <c r="K292" s="18" t="s">
        <v>39</v>
      </c>
      <c r="L292" s="18" t="s">
        <v>28</v>
      </c>
      <c r="M292" s="34">
        <v>46371.0</v>
      </c>
      <c r="N292" s="35">
        <v>46491.0</v>
      </c>
      <c r="O292" s="19" t="s">
        <v>1985</v>
      </c>
      <c r="P292" s="19" t="s">
        <v>1986</v>
      </c>
      <c r="Q292" s="12" t="str">
        <f t="shared" si="1"/>
        <v>https://ec.europa.eu/info/funding-tenders/opportunities/portal/screen/opportunities/topic-details/HORIZON-CL5-2027-03-D5-15</v>
      </c>
    </row>
    <row r="293" ht="66.0" customHeight="1">
      <c r="A293" s="4" t="s">
        <v>17</v>
      </c>
      <c r="B293" s="4" t="s">
        <v>18</v>
      </c>
      <c r="C293" s="4" t="s">
        <v>19</v>
      </c>
      <c r="D293" s="5" t="s">
        <v>1498</v>
      </c>
      <c r="E293" s="32" t="s">
        <v>1987</v>
      </c>
      <c r="F293" s="5" t="s">
        <v>1988</v>
      </c>
      <c r="G293" s="5" t="s">
        <v>1989</v>
      </c>
      <c r="H293" s="19"/>
      <c r="I293" s="19" t="s">
        <v>847</v>
      </c>
      <c r="J293" s="19" t="s">
        <v>1990</v>
      </c>
      <c r="K293" s="18" t="s">
        <v>239</v>
      </c>
      <c r="L293" s="18" t="s">
        <v>28</v>
      </c>
      <c r="M293" s="34">
        <v>46371.0</v>
      </c>
      <c r="N293" s="35">
        <v>46491.0</v>
      </c>
      <c r="O293" s="19" t="s">
        <v>1991</v>
      </c>
      <c r="P293" s="19" t="s">
        <v>1992</v>
      </c>
      <c r="Q293" s="12" t="str">
        <f t="shared" si="1"/>
        <v>https://ec.europa.eu/info/funding-tenders/opportunities/portal/screen/opportunities/topic-details/HORIZON-CL5-2027-03-D5-16</v>
      </c>
    </row>
    <row r="294" ht="66.0" customHeight="1">
      <c r="A294" s="4" t="s">
        <v>17</v>
      </c>
      <c r="B294" s="4" t="s">
        <v>18</v>
      </c>
      <c r="C294" s="4" t="s">
        <v>19</v>
      </c>
      <c r="D294" s="5" t="s">
        <v>1498</v>
      </c>
      <c r="E294" s="32" t="s">
        <v>1993</v>
      </c>
      <c r="F294" s="5" t="s">
        <v>1994</v>
      </c>
      <c r="G294" s="5" t="s">
        <v>1995</v>
      </c>
      <c r="H294" s="19"/>
      <c r="I294" s="19" t="s">
        <v>1170</v>
      </c>
      <c r="J294" s="19" t="s">
        <v>1996</v>
      </c>
      <c r="K294" s="18" t="s">
        <v>27</v>
      </c>
      <c r="L294" s="18" t="s">
        <v>28</v>
      </c>
      <c r="M294" s="34">
        <v>46371.0</v>
      </c>
      <c r="N294" s="35">
        <v>46491.0</v>
      </c>
      <c r="O294" s="19" t="s">
        <v>1997</v>
      </c>
      <c r="P294" s="19" t="s">
        <v>1998</v>
      </c>
      <c r="Q294" s="12" t="str">
        <f t="shared" si="1"/>
        <v>https://ec.europa.eu/info/funding-tenders/opportunities/portal/screen/opportunities/topic-details/HORIZON-CL5-2027-03-D5-17</v>
      </c>
    </row>
    <row r="295" ht="66.0" customHeight="1">
      <c r="A295" s="4" t="s">
        <v>17</v>
      </c>
      <c r="B295" s="4" t="s">
        <v>18</v>
      </c>
      <c r="C295" s="4" t="s">
        <v>19</v>
      </c>
      <c r="D295" s="5" t="s">
        <v>1498</v>
      </c>
      <c r="E295" s="32" t="s">
        <v>1999</v>
      </c>
      <c r="F295" s="5" t="s">
        <v>2000</v>
      </c>
      <c r="G295" s="5" t="s">
        <v>2001</v>
      </c>
      <c r="H295" s="19"/>
      <c r="I295" s="19" t="s">
        <v>847</v>
      </c>
      <c r="J295" s="19" t="s">
        <v>2002</v>
      </c>
      <c r="K295" s="18" t="s">
        <v>239</v>
      </c>
      <c r="L295" s="18" t="s">
        <v>28</v>
      </c>
      <c r="M295" s="34">
        <v>46371.0</v>
      </c>
      <c r="N295" s="35">
        <v>46491.0</v>
      </c>
      <c r="O295" s="19" t="s">
        <v>2003</v>
      </c>
      <c r="P295" s="19" t="s">
        <v>2004</v>
      </c>
      <c r="Q295" s="12" t="str">
        <f t="shared" si="1"/>
        <v>https://ec.europa.eu/info/funding-tenders/opportunities/portal/screen/opportunities/topic-details/HORIZON-CL5-2027-03-D5-18</v>
      </c>
    </row>
    <row r="296" ht="66.0" customHeight="1">
      <c r="A296" s="4" t="s">
        <v>17</v>
      </c>
      <c r="B296" s="4" t="s">
        <v>18</v>
      </c>
      <c r="C296" s="4" t="s">
        <v>19</v>
      </c>
      <c r="D296" s="5" t="s">
        <v>1498</v>
      </c>
      <c r="E296" s="32" t="s">
        <v>2005</v>
      </c>
      <c r="F296" s="5" t="s">
        <v>2006</v>
      </c>
      <c r="G296" s="5" t="s">
        <v>2007</v>
      </c>
      <c r="H296" s="19"/>
      <c r="I296" s="19" t="s">
        <v>2008</v>
      </c>
      <c r="J296" s="19" t="s">
        <v>2009</v>
      </c>
      <c r="K296" s="18" t="s">
        <v>27</v>
      </c>
      <c r="L296" s="18" t="s">
        <v>157</v>
      </c>
      <c r="M296" s="34">
        <v>46009.0</v>
      </c>
      <c r="N296" s="35" t="s">
        <v>1953</v>
      </c>
      <c r="O296" s="19" t="s">
        <v>2010</v>
      </c>
      <c r="P296" s="19" t="s">
        <v>2011</v>
      </c>
      <c r="Q296" s="12" t="str">
        <f t="shared" si="1"/>
        <v>https://ec.europa.eu/info/funding-tenders/opportunities/portal/screen/opportunities/topic-details/HORIZON-CL5-2026-06-Two-Stage-D5-19</v>
      </c>
    </row>
    <row r="297" ht="66.0" customHeight="1">
      <c r="A297" s="4" t="s">
        <v>17</v>
      </c>
      <c r="B297" s="4" t="s">
        <v>18</v>
      </c>
      <c r="C297" s="4" t="s">
        <v>19</v>
      </c>
      <c r="D297" s="5" t="s">
        <v>1498</v>
      </c>
      <c r="E297" s="32" t="s">
        <v>2012</v>
      </c>
      <c r="F297" s="5" t="s">
        <v>2013</v>
      </c>
      <c r="G297" s="5" t="s">
        <v>2014</v>
      </c>
      <c r="H297" s="19"/>
      <c r="I297" s="19" t="s">
        <v>81</v>
      </c>
      <c r="J297" s="19" t="s">
        <v>2015</v>
      </c>
      <c r="K297" s="18" t="s">
        <v>27</v>
      </c>
      <c r="L297" s="18" t="s">
        <v>28</v>
      </c>
      <c r="M297" s="34">
        <v>46371.0</v>
      </c>
      <c r="N297" s="35">
        <v>46491.0</v>
      </c>
      <c r="O297" s="19" t="s">
        <v>2016</v>
      </c>
      <c r="P297" s="19" t="s">
        <v>2017</v>
      </c>
      <c r="Q297" s="12" t="str">
        <f t="shared" si="1"/>
        <v>https://ec.europa.eu/info/funding-tenders/opportunities/portal/screen/opportunities/topic-details/HORIZON-CL5-2027-03-D5-20</v>
      </c>
    </row>
    <row r="298" ht="66.0" customHeight="1">
      <c r="A298" s="4" t="s">
        <v>17</v>
      </c>
      <c r="B298" s="4" t="s">
        <v>18</v>
      </c>
      <c r="C298" s="4" t="s">
        <v>19</v>
      </c>
      <c r="D298" s="5" t="s">
        <v>1498</v>
      </c>
      <c r="E298" s="32" t="s">
        <v>2018</v>
      </c>
      <c r="F298" s="5" t="s">
        <v>2019</v>
      </c>
      <c r="G298" s="5" t="s">
        <v>2020</v>
      </c>
      <c r="H298" s="19" t="s">
        <v>1563</v>
      </c>
      <c r="I298" s="19" t="s">
        <v>1226</v>
      </c>
      <c r="J298" s="19" t="s">
        <v>2021</v>
      </c>
      <c r="K298" s="18" t="s">
        <v>239</v>
      </c>
      <c r="L298" s="18" t="s">
        <v>28</v>
      </c>
      <c r="M298" s="34">
        <v>46177.0</v>
      </c>
      <c r="N298" s="35">
        <v>46303.0</v>
      </c>
      <c r="O298" s="19" t="s">
        <v>2022</v>
      </c>
      <c r="P298" s="19" t="s">
        <v>2023</v>
      </c>
      <c r="Q298" s="12" t="str">
        <f t="shared" si="1"/>
        <v>https://ec.europa.eu/info/funding-tenders/opportunities/portal/screen/opportunities/topic-details/HORIZON-CL5-2026-10-D6-01</v>
      </c>
    </row>
    <row r="299" ht="66.0" customHeight="1">
      <c r="A299" s="4" t="s">
        <v>17</v>
      </c>
      <c r="B299" s="4" t="s">
        <v>18</v>
      </c>
      <c r="C299" s="4" t="s">
        <v>19</v>
      </c>
      <c r="D299" s="5" t="s">
        <v>1498</v>
      </c>
      <c r="E299" s="32" t="s">
        <v>2024</v>
      </c>
      <c r="F299" s="5" t="s">
        <v>2025</v>
      </c>
      <c r="G299" s="5" t="s">
        <v>2026</v>
      </c>
      <c r="H299" s="19" t="s">
        <v>2027</v>
      </c>
      <c r="I299" s="19" t="s">
        <v>927</v>
      </c>
      <c r="J299" s="19" t="s">
        <v>2028</v>
      </c>
      <c r="K299" s="18" t="s">
        <v>27</v>
      </c>
      <c r="L299" s="18" t="s">
        <v>28</v>
      </c>
      <c r="M299" s="34">
        <v>46177.0</v>
      </c>
      <c r="N299" s="35">
        <v>46303.0</v>
      </c>
      <c r="O299" s="19" t="s">
        <v>2029</v>
      </c>
      <c r="P299" s="19" t="s">
        <v>2030</v>
      </c>
      <c r="Q299" s="12" t="str">
        <f t="shared" si="1"/>
        <v>https://ec.europa.eu/info/funding-tenders/opportunities/portal/screen/opportunities/topic-details/HORIZON-CL5-2026-10-D6-02</v>
      </c>
    </row>
    <row r="300" ht="66.0" customHeight="1">
      <c r="A300" s="4" t="s">
        <v>17</v>
      </c>
      <c r="B300" s="4" t="s">
        <v>18</v>
      </c>
      <c r="C300" s="4" t="s">
        <v>19</v>
      </c>
      <c r="D300" s="5" t="s">
        <v>1498</v>
      </c>
      <c r="E300" s="32" t="s">
        <v>2031</v>
      </c>
      <c r="F300" s="5" t="s">
        <v>2032</v>
      </c>
      <c r="G300" s="5" t="s">
        <v>2033</v>
      </c>
      <c r="H300" s="19"/>
      <c r="I300" s="19" t="s">
        <v>965</v>
      </c>
      <c r="J300" s="19" t="s">
        <v>2034</v>
      </c>
      <c r="K300" s="18" t="s">
        <v>27</v>
      </c>
      <c r="L300" s="18" t="s">
        <v>28</v>
      </c>
      <c r="M300" s="34">
        <v>46177.0</v>
      </c>
      <c r="N300" s="35">
        <v>46303.0</v>
      </c>
      <c r="O300" s="19" t="s">
        <v>2035</v>
      </c>
      <c r="P300" s="19" t="s">
        <v>2036</v>
      </c>
      <c r="Q300" s="12" t="str">
        <f t="shared" si="1"/>
        <v>https://ec.europa.eu/info/funding-tenders/opportunities/portal/screen/opportunities/topic-details/HORIZON-CL5-2026-10-D6-03</v>
      </c>
    </row>
    <row r="301" ht="66.0" customHeight="1">
      <c r="A301" s="4" t="s">
        <v>17</v>
      </c>
      <c r="B301" s="4" t="s">
        <v>18</v>
      </c>
      <c r="C301" s="4" t="s">
        <v>19</v>
      </c>
      <c r="D301" s="5" t="s">
        <v>1498</v>
      </c>
      <c r="E301" s="32" t="s">
        <v>2037</v>
      </c>
      <c r="F301" s="5" t="s">
        <v>2038</v>
      </c>
      <c r="G301" s="5" t="s">
        <v>2039</v>
      </c>
      <c r="H301" s="19" t="s">
        <v>46</v>
      </c>
      <c r="I301" s="19" t="s">
        <v>1087</v>
      </c>
      <c r="J301" s="19" t="s">
        <v>2040</v>
      </c>
      <c r="K301" s="18" t="s">
        <v>27</v>
      </c>
      <c r="L301" s="18" t="s">
        <v>28</v>
      </c>
      <c r="M301" s="34">
        <v>46541.0</v>
      </c>
      <c r="N301" s="35">
        <v>46667.0</v>
      </c>
      <c r="O301" s="19" t="s">
        <v>2041</v>
      </c>
      <c r="P301" s="19" t="s">
        <v>2042</v>
      </c>
      <c r="Q301" s="12" t="str">
        <f t="shared" si="1"/>
        <v>https://ec.europa.eu/info/funding-tenders/opportunities/portal/screen/opportunities/topic-details/HORIZON-CL5-2027-06-D6-04</v>
      </c>
    </row>
    <row r="302" ht="66.0" customHeight="1">
      <c r="A302" s="4" t="s">
        <v>17</v>
      </c>
      <c r="B302" s="4" t="s">
        <v>18</v>
      </c>
      <c r="C302" s="4" t="s">
        <v>19</v>
      </c>
      <c r="D302" s="5" t="s">
        <v>1498</v>
      </c>
      <c r="E302" s="32" t="s">
        <v>2043</v>
      </c>
      <c r="F302" s="5" t="s">
        <v>2044</v>
      </c>
      <c r="G302" s="5" t="s">
        <v>2045</v>
      </c>
      <c r="H302" s="19"/>
      <c r="I302" s="19" t="s">
        <v>309</v>
      </c>
      <c r="J302" s="19" t="s">
        <v>2046</v>
      </c>
      <c r="K302" s="18" t="s">
        <v>39</v>
      </c>
      <c r="L302" s="18" t="s">
        <v>28</v>
      </c>
      <c r="M302" s="34">
        <v>46541.0</v>
      </c>
      <c r="N302" s="35">
        <v>46667.0</v>
      </c>
      <c r="O302" s="19" t="s">
        <v>2047</v>
      </c>
      <c r="P302" s="19" t="s">
        <v>2048</v>
      </c>
      <c r="Q302" s="12" t="str">
        <f t="shared" si="1"/>
        <v>https://ec.europa.eu/info/funding-tenders/opportunities/portal/screen/opportunities/topic-details/HORIZON-CL5-2027-06-D6-05</v>
      </c>
    </row>
    <row r="303" ht="66.0" customHeight="1">
      <c r="A303" s="4" t="s">
        <v>17</v>
      </c>
      <c r="B303" s="4" t="s">
        <v>18</v>
      </c>
      <c r="C303" s="4" t="s">
        <v>19</v>
      </c>
      <c r="D303" s="5" t="s">
        <v>1498</v>
      </c>
      <c r="E303" s="32" t="s">
        <v>2049</v>
      </c>
      <c r="F303" s="5" t="s">
        <v>2050</v>
      </c>
      <c r="G303" s="5" t="s">
        <v>2051</v>
      </c>
      <c r="H303" s="19"/>
      <c r="I303" s="19" t="s">
        <v>833</v>
      </c>
      <c r="J303" s="19" t="s">
        <v>2052</v>
      </c>
      <c r="K303" s="18" t="s">
        <v>239</v>
      </c>
      <c r="L303" s="18" t="s">
        <v>28</v>
      </c>
      <c r="M303" s="34">
        <v>46177.0</v>
      </c>
      <c r="N303" s="35">
        <v>46303.0</v>
      </c>
      <c r="O303" s="19" t="s">
        <v>2053</v>
      </c>
      <c r="P303" s="19" t="s">
        <v>2054</v>
      </c>
      <c r="Q303" s="12" t="str">
        <f t="shared" si="1"/>
        <v>https://ec.europa.eu/info/funding-tenders/opportunities/portal/screen/opportunities/topic-details/HORIZON-CL5-2026-10-D6-06</v>
      </c>
    </row>
    <row r="304" ht="66.0" customHeight="1">
      <c r="A304" s="4" t="s">
        <v>17</v>
      </c>
      <c r="B304" s="4" t="s">
        <v>18</v>
      </c>
      <c r="C304" s="4" t="s">
        <v>19</v>
      </c>
      <c r="D304" s="5" t="s">
        <v>1498</v>
      </c>
      <c r="E304" s="32" t="s">
        <v>2055</v>
      </c>
      <c r="F304" s="5" t="s">
        <v>2056</v>
      </c>
      <c r="G304" s="5" t="s">
        <v>2057</v>
      </c>
      <c r="H304" s="19"/>
      <c r="I304" s="19" t="s">
        <v>614</v>
      </c>
      <c r="J304" s="19" t="s">
        <v>2058</v>
      </c>
      <c r="K304" s="18" t="s">
        <v>39</v>
      </c>
      <c r="L304" s="18" t="s">
        <v>28</v>
      </c>
      <c r="M304" s="34">
        <v>46177.0</v>
      </c>
      <c r="N304" s="35">
        <v>46303.0</v>
      </c>
      <c r="O304" s="19" t="s">
        <v>2059</v>
      </c>
      <c r="P304" s="19" t="s">
        <v>2060</v>
      </c>
      <c r="Q304" s="12" t="str">
        <f t="shared" si="1"/>
        <v>https://ec.europa.eu/info/funding-tenders/opportunities/portal/screen/opportunities/topic-details/HORIZON-CL5-2026-10-D6-07</v>
      </c>
    </row>
    <row r="305" ht="66.0" customHeight="1">
      <c r="A305" s="4" t="s">
        <v>17</v>
      </c>
      <c r="B305" s="4" t="s">
        <v>18</v>
      </c>
      <c r="C305" s="4" t="s">
        <v>19</v>
      </c>
      <c r="D305" s="5" t="s">
        <v>1498</v>
      </c>
      <c r="E305" s="32" t="s">
        <v>2061</v>
      </c>
      <c r="F305" s="5" t="s">
        <v>2062</v>
      </c>
      <c r="G305" s="5" t="s">
        <v>2063</v>
      </c>
      <c r="H305" s="19" t="s">
        <v>2064</v>
      </c>
      <c r="I305" s="19" t="s">
        <v>614</v>
      </c>
      <c r="J305" s="19" t="s">
        <v>2065</v>
      </c>
      <c r="K305" s="18" t="s">
        <v>239</v>
      </c>
      <c r="L305" s="18" t="s">
        <v>28</v>
      </c>
      <c r="M305" s="34">
        <v>46541.0</v>
      </c>
      <c r="N305" s="35">
        <v>46667.0</v>
      </c>
      <c r="O305" s="19" t="s">
        <v>2066</v>
      </c>
      <c r="P305" s="19" t="s">
        <v>2067</v>
      </c>
      <c r="Q305" s="12" t="str">
        <f t="shared" si="1"/>
        <v>https://ec.europa.eu/info/funding-tenders/opportunities/portal/screen/opportunities/topic-details/HORIZON-CL5-2027-06-D6-08</v>
      </c>
    </row>
    <row r="306" ht="66.0" customHeight="1">
      <c r="A306" s="4" t="s">
        <v>17</v>
      </c>
      <c r="B306" s="4" t="s">
        <v>18</v>
      </c>
      <c r="C306" s="4" t="s">
        <v>19</v>
      </c>
      <c r="D306" s="5" t="s">
        <v>1498</v>
      </c>
      <c r="E306" s="32" t="s">
        <v>2068</v>
      </c>
      <c r="F306" s="5" t="s">
        <v>2069</v>
      </c>
      <c r="G306" s="5" t="s">
        <v>2070</v>
      </c>
      <c r="H306" s="19"/>
      <c r="I306" s="19" t="s">
        <v>833</v>
      </c>
      <c r="J306" s="19" t="s">
        <v>2071</v>
      </c>
      <c r="K306" s="18" t="s">
        <v>239</v>
      </c>
      <c r="L306" s="18" t="s">
        <v>28</v>
      </c>
      <c r="M306" s="34">
        <v>46177.0</v>
      </c>
      <c r="N306" s="35">
        <v>46303.0</v>
      </c>
      <c r="O306" s="19" t="s">
        <v>2072</v>
      </c>
      <c r="P306" s="19" t="s">
        <v>2073</v>
      </c>
      <c r="Q306" s="12" t="str">
        <f t="shared" si="1"/>
        <v>https://ec.europa.eu/info/funding-tenders/opportunities/portal/screen/opportunities/topic-details/HORIZON-CL5-2026-10-D6-09</v>
      </c>
    </row>
    <row r="307" ht="66.0" customHeight="1">
      <c r="A307" s="4" t="s">
        <v>17</v>
      </c>
      <c r="B307" s="4" t="s">
        <v>18</v>
      </c>
      <c r="C307" s="4" t="s">
        <v>19</v>
      </c>
      <c r="D307" s="5" t="s">
        <v>1498</v>
      </c>
      <c r="E307" s="32" t="s">
        <v>2074</v>
      </c>
      <c r="F307" s="5" t="s">
        <v>2075</v>
      </c>
      <c r="G307" s="5" t="s">
        <v>2076</v>
      </c>
      <c r="H307" s="19"/>
      <c r="I307" s="19" t="s">
        <v>812</v>
      </c>
      <c r="J307" s="19" t="s">
        <v>2077</v>
      </c>
      <c r="K307" s="18" t="s">
        <v>239</v>
      </c>
      <c r="L307" s="18" t="s">
        <v>28</v>
      </c>
      <c r="M307" s="34">
        <v>46177.0</v>
      </c>
      <c r="N307" s="35">
        <v>46303.0</v>
      </c>
      <c r="O307" s="19" t="s">
        <v>2078</v>
      </c>
      <c r="P307" s="19" t="s">
        <v>2079</v>
      </c>
      <c r="Q307" s="12" t="str">
        <f t="shared" si="1"/>
        <v>https://ec.europa.eu/info/funding-tenders/opportunities/portal/screen/opportunities/topic-details/HORIZON-CL5-2026-10-D6-10</v>
      </c>
    </row>
    <row r="308" ht="66.0" customHeight="1">
      <c r="A308" s="4" t="s">
        <v>17</v>
      </c>
      <c r="B308" s="4" t="s">
        <v>18</v>
      </c>
      <c r="C308" s="4" t="s">
        <v>19</v>
      </c>
      <c r="D308" s="5" t="s">
        <v>1498</v>
      </c>
      <c r="E308" s="32" t="s">
        <v>2080</v>
      </c>
      <c r="F308" s="5" t="s">
        <v>2081</v>
      </c>
      <c r="G308" s="5" t="s">
        <v>2082</v>
      </c>
      <c r="H308" s="19"/>
      <c r="I308" s="19" t="s">
        <v>847</v>
      </c>
      <c r="J308" s="19" t="s">
        <v>2083</v>
      </c>
      <c r="K308" s="18" t="s">
        <v>239</v>
      </c>
      <c r="L308" s="18" t="s">
        <v>28</v>
      </c>
      <c r="M308" s="34">
        <v>46541.0</v>
      </c>
      <c r="N308" s="35">
        <v>46667.0</v>
      </c>
      <c r="O308" s="19" t="s">
        <v>2084</v>
      </c>
      <c r="P308" s="19" t="s">
        <v>2085</v>
      </c>
      <c r="Q308" s="12" t="str">
        <f t="shared" si="1"/>
        <v>https://ec.europa.eu/info/funding-tenders/opportunities/portal/screen/opportunities/topic-details/HORIZON-CL5-2027-06-D6-11</v>
      </c>
    </row>
    <row r="309" ht="66.0" customHeight="1">
      <c r="A309" s="4" t="s">
        <v>17</v>
      </c>
      <c r="B309" s="4" t="s">
        <v>18</v>
      </c>
      <c r="C309" s="4" t="s">
        <v>19</v>
      </c>
      <c r="D309" s="5" t="s">
        <v>1498</v>
      </c>
      <c r="E309" s="32" t="s">
        <v>2086</v>
      </c>
      <c r="F309" s="5" t="s">
        <v>2087</v>
      </c>
      <c r="G309" s="5" t="s">
        <v>2088</v>
      </c>
      <c r="H309" s="19"/>
      <c r="I309" s="19" t="s">
        <v>1523</v>
      </c>
      <c r="J309" s="19" t="s">
        <v>2089</v>
      </c>
      <c r="K309" s="18" t="s">
        <v>39</v>
      </c>
      <c r="L309" s="18" t="s">
        <v>28</v>
      </c>
      <c r="M309" s="34">
        <v>46541.0</v>
      </c>
      <c r="N309" s="35">
        <v>46667.0</v>
      </c>
      <c r="O309" s="19" t="s">
        <v>2090</v>
      </c>
      <c r="P309" s="19" t="s">
        <v>2091</v>
      </c>
      <c r="Q309" s="12" t="str">
        <f t="shared" si="1"/>
        <v>https://ec.europa.eu/info/funding-tenders/opportunities/portal/screen/opportunities/topic-details/HORIZON-CL5-2027-06-D6-12</v>
      </c>
    </row>
    <row r="310" ht="66.0" customHeight="1">
      <c r="A310" s="4" t="s">
        <v>17</v>
      </c>
      <c r="B310" s="4" t="s">
        <v>18</v>
      </c>
      <c r="C310" s="4" t="s">
        <v>19</v>
      </c>
      <c r="D310" s="36" t="s">
        <v>2092</v>
      </c>
      <c r="E310" s="32" t="s">
        <v>2093</v>
      </c>
      <c r="F310" s="5" t="s">
        <v>2094</v>
      </c>
      <c r="G310" s="5" t="s">
        <v>2095</v>
      </c>
      <c r="H310" s="19"/>
      <c r="I310" s="19" t="s">
        <v>2096</v>
      </c>
      <c r="J310" s="19" t="s">
        <v>2097</v>
      </c>
      <c r="K310" s="18" t="s">
        <v>27</v>
      </c>
      <c r="L310" s="18" t="s">
        <v>28</v>
      </c>
      <c r="M310" s="34">
        <v>46129.0</v>
      </c>
      <c r="N310" s="35">
        <v>46282.0</v>
      </c>
      <c r="O310" s="19" t="s">
        <v>2098</v>
      </c>
      <c r="P310" s="19" t="s">
        <v>2099</v>
      </c>
      <c r="Q310" s="12" t="str">
        <f t="shared" si="1"/>
        <v>https://ec.europa.eu/info/funding-tenders/opportunities/portal/screen/opportunities/topic-details/HORIZON-CL6-2026-01-BIODIV-01</v>
      </c>
    </row>
    <row r="311" ht="66.0" customHeight="1">
      <c r="A311" s="4" t="s">
        <v>17</v>
      </c>
      <c r="B311" s="4" t="s">
        <v>18</v>
      </c>
      <c r="C311" s="4" t="s">
        <v>19</v>
      </c>
      <c r="D311" s="36" t="s">
        <v>2092</v>
      </c>
      <c r="E311" s="32" t="s">
        <v>2100</v>
      </c>
      <c r="F311" s="5" t="s">
        <v>2101</v>
      </c>
      <c r="G311" s="5" t="s">
        <v>2102</v>
      </c>
      <c r="H311" s="19"/>
      <c r="I311" s="19" t="s">
        <v>1156</v>
      </c>
      <c r="J311" s="19" t="s">
        <v>2103</v>
      </c>
      <c r="K311" s="18" t="s">
        <v>27</v>
      </c>
      <c r="L311" s="18" t="s">
        <v>28</v>
      </c>
      <c r="M311" s="34">
        <v>46129.0</v>
      </c>
      <c r="N311" s="35">
        <v>46282.0</v>
      </c>
      <c r="O311" s="19" t="s">
        <v>2104</v>
      </c>
      <c r="P311" s="19" t="s">
        <v>2105</v>
      </c>
      <c r="Q311" s="12" t="str">
        <f t="shared" si="1"/>
        <v>https://ec.europa.eu/info/funding-tenders/opportunities/portal/screen/opportunities/topic-details/HORIZON-CL6-2026-01-BIODIV-02</v>
      </c>
    </row>
    <row r="312" ht="66.0" customHeight="1">
      <c r="A312" s="4" t="s">
        <v>17</v>
      </c>
      <c r="B312" s="4" t="s">
        <v>18</v>
      </c>
      <c r="C312" s="4" t="s">
        <v>19</v>
      </c>
      <c r="D312" s="36" t="s">
        <v>2092</v>
      </c>
      <c r="E312" s="32" t="s">
        <v>2106</v>
      </c>
      <c r="F312" s="5" t="s">
        <v>2107</v>
      </c>
      <c r="G312" s="5" t="s">
        <v>2108</v>
      </c>
      <c r="H312" s="19"/>
      <c r="I312" s="19" t="s">
        <v>2109</v>
      </c>
      <c r="J312" s="19" t="s">
        <v>2110</v>
      </c>
      <c r="K312" s="18" t="s">
        <v>27</v>
      </c>
      <c r="L312" s="18" t="s">
        <v>28</v>
      </c>
      <c r="M312" s="34">
        <v>46129.0</v>
      </c>
      <c r="N312" s="35">
        <v>46282.0</v>
      </c>
      <c r="O312" s="19" t="s">
        <v>2111</v>
      </c>
      <c r="P312" s="19" t="s">
        <v>2112</v>
      </c>
      <c r="Q312" s="12" t="str">
        <f t="shared" si="1"/>
        <v>https://ec.europa.eu/info/funding-tenders/opportunities/portal/screen/opportunities/topic-details/HORIZON-CL6-2026-01-BIODIV-03</v>
      </c>
    </row>
    <row r="313" ht="66.0" customHeight="1">
      <c r="A313" s="4" t="s">
        <v>17</v>
      </c>
      <c r="B313" s="4" t="s">
        <v>18</v>
      </c>
      <c r="C313" s="4" t="s">
        <v>19</v>
      </c>
      <c r="D313" s="36" t="s">
        <v>2092</v>
      </c>
      <c r="E313" s="32" t="s">
        <v>2113</v>
      </c>
      <c r="F313" s="5" t="s">
        <v>2114</v>
      </c>
      <c r="G313" s="5" t="s">
        <v>2115</v>
      </c>
      <c r="H313" s="19" t="s">
        <v>1563</v>
      </c>
      <c r="I313" s="19" t="s">
        <v>2116</v>
      </c>
      <c r="J313" s="19" t="s">
        <v>2117</v>
      </c>
      <c r="K313" s="18" t="s">
        <v>27</v>
      </c>
      <c r="L313" s="18" t="s">
        <v>28</v>
      </c>
      <c r="M313" s="34">
        <v>46129.0</v>
      </c>
      <c r="N313" s="35">
        <v>46282.0</v>
      </c>
      <c r="O313" s="19" t="s">
        <v>2118</v>
      </c>
      <c r="P313" s="19" t="s">
        <v>2119</v>
      </c>
      <c r="Q313" s="12" t="str">
        <f t="shared" si="1"/>
        <v>https://ec.europa.eu/info/funding-tenders/opportunities/portal/screen/opportunities/topic-details/HORIZON-CL6-2026-01-BIODIV-04</v>
      </c>
    </row>
    <row r="314" ht="66.0" customHeight="1">
      <c r="A314" s="4" t="s">
        <v>17</v>
      </c>
      <c r="B314" s="4" t="s">
        <v>18</v>
      </c>
      <c r="C314" s="4" t="s">
        <v>19</v>
      </c>
      <c r="D314" s="36" t="s">
        <v>2092</v>
      </c>
      <c r="E314" s="32" t="s">
        <v>2120</v>
      </c>
      <c r="F314" s="5" t="s">
        <v>2121</v>
      </c>
      <c r="G314" s="5" t="s">
        <v>2122</v>
      </c>
      <c r="H314" s="19" t="s">
        <v>650</v>
      </c>
      <c r="I314" s="19" t="s">
        <v>888</v>
      </c>
      <c r="J314" s="19" t="s">
        <v>2123</v>
      </c>
      <c r="K314" s="18" t="s">
        <v>27</v>
      </c>
      <c r="L314" s="18" t="s">
        <v>28</v>
      </c>
      <c r="M314" s="34">
        <v>46129.0</v>
      </c>
      <c r="N314" s="35">
        <v>46282.0</v>
      </c>
      <c r="O314" s="19" t="s">
        <v>2124</v>
      </c>
      <c r="P314" s="19" t="s">
        <v>2125</v>
      </c>
      <c r="Q314" s="12" t="str">
        <f t="shared" si="1"/>
        <v>https://ec.europa.eu/info/funding-tenders/opportunities/portal/screen/opportunities/topic-details/HORIZON-CL6-2026-01-BIODIV-05</v>
      </c>
    </row>
    <row r="315" ht="66.0" customHeight="1">
      <c r="A315" s="4" t="s">
        <v>17</v>
      </c>
      <c r="B315" s="4" t="s">
        <v>18</v>
      </c>
      <c r="C315" s="4" t="s">
        <v>19</v>
      </c>
      <c r="D315" s="36" t="s">
        <v>2092</v>
      </c>
      <c r="E315" s="32" t="s">
        <v>2126</v>
      </c>
      <c r="F315" s="5" t="s">
        <v>2127</v>
      </c>
      <c r="G315" s="5" t="s">
        <v>2128</v>
      </c>
      <c r="H315" s="19"/>
      <c r="I315" s="19" t="s">
        <v>2129</v>
      </c>
      <c r="J315" s="19" t="s">
        <v>2130</v>
      </c>
      <c r="K315" s="18" t="s">
        <v>27</v>
      </c>
      <c r="L315" s="18" t="s">
        <v>28</v>
      </c>
      <c r="M315" s="34">
        <v>46129.0</v>
      </c>
      <c r="N315" s="35">
        <v>46282.0</v>
      </c>
      <c r="O315" s="19" t="s">
        <v>2131</v>
      </c>
      <c r="P315" s="19" t="s">
        <v>2132</v>
      </c>
      <c r="Q315" s="12" t="str">
        <f t="shared" si="1"/>
        <v>https://ec.europa.eu/info/funding-tenders/opportunities/portal/screen/opportunities/topic-details/HORIZON-CL6-2026-01-BIODIV-06</v>
      </c>
    </row>
    <row r="316" ht="66.0" customHeight="1">
      <c r="A316" s="4" t="s">
        <v>17</v>
      </c>
      <c r="B316" s="4" t="s">
        <v>18</v>
      </c>
      <c r="C316" s="4" t="s">
        <v>19</v>
      </c>
      <c r="D316" s="36" t="s">
        <v>2092</v>
      </c>
      <c r="E316" s="32" t="s">
        <v>2133</v>
      </c>
      <c r="F316" s="5" t="s">
        <v>2134</v>
      </c>
      <c r="G316" s="5" t="s">
        <v>2135</v>
      </c>
      <c r="H316" s="19" t="s">
        <v>1563</v>
      </c>
      <c r="I316" s="19" t="s">
        <v>2116</v>
      </c>
      <c r="J316" s="19" t="s">
        <v>2136</v>
      </c>
      <c r="K316" s="18" t="s">
        <v>27</v>
      </c>
      <c r="L316" s="18" t="s">
        <v>157</v>
      </c>
      <c r="M316" s="34">
        <v>46065.0</v>
      </c>
      <c r="N316" s="35" t="s">
        <v>2137</v>
      </c>
      <c r="O316" s="19" t="s">
        <v>2138</v>
      </c>
      <c r="P316" s="19" t="s">
        <v>2139</v>
      </c>
      <c r="Q316" s="12" t="str">
        <f t="shared" si="1"/>
        <v>https://ec.europa.eu/info/funding-tenders/opportunities/portal/screen/opportunities/topic-details/HORIZON-CL6-2026-01-BIODIV-01-two-stage</v>
      </c>
    </row>
    <row r="317" ht="66.0" customHeight="1">
      <c r="A317" s="4" t="s">
        <v>17</v>
      </c>
      <c r="B317" s="4" t="s">
        <v>18</v>
      </c>
      <c r="C317" s="4" t="s">
        <v>19</v>
      </c>
      <c r="D317" s="36" t="s">
        <v>2092</v>
      </c>
      <c r="E317" s="32" t="s">
        <v>2140</v>
      </c>
      <c r="F317" s="5" t="s">
        <v>2141</v>
      </c>
      <c r="G317" s="5" t="s">
        <v>2142</v>
      </c>
      <c r="H317" s="19"/>
      <c r="I317" s="19" t="s">
        <v>2096</v>
      </c>
      <c r="J317" s="19" t="s">
        <v>2143</v>
      </c>
      <c r="K317" s="18" t="s">
        <v>27</v>
      </c>
      <c r="L317" s="18" t="s">
        <v>157</v>
      </c>
      <c r="M317" s="34">
        <v>46065.0</v>
      </c>
      <c r="N317" s="35" t="s">
        <v>2137</v>
      </c>
      <c r="O317" s="19" t="s">
        <v>2144</v>
      </c>
      <c r="P317" s="19" t="s">
        <v>2145</v>
      </c>
      <c r="Q317" s="12" t="str">
        <f t="shared" si="1"/>
        <v>https://ec.europa.eu/info/funding-tenders/opportunities/portal/screen/opportunities/topic-details/HORIZON-CL6-2026-01-BIODIV-02-two-stage</v>
      </c>
    </row>
    <row r="318" ht="66.0" customHeight="1">
      <c r="A318" s="4" t="s">
        <v>17</v>
      </c>
      <c r="B318" s="4" t="s">
        <v>18</v>
      </c>
      <c r="C318" s="4" t="s">
        <v>19</v>
      </c>
      <c r="D318" s="36" t="s">
        <v>2092</v>
      </c>
      <c r="E318" s="32" t="s">
        <v>2146</v>
      </c>
      <c r="F318" s="5" t="s">
        <v>2147</v>
      </c>
      <c r="G318" s="5" t="s">
        <v>2148</v>
      </c>
      <c r="H318" s="19" t="s">
        <v>2149</v>
      </c>
      <c r="I318" s="19" t="s">
        <v>2150</v>
      </c>
      <c r="J318" s="19" t="s">
        <v>2151</v>
      </c>
      <c r="K318" s="18" t="s">
        <v>239</v>
      </c>
      <c r="L318" s="18" t="s">
        <v>157</v>
      </c>
      <c r="M318" s="34">
        <v>46065.0</v>
      </c>
      <c r="N318" s="35" t="s">
        <v>2137</v>
      </c>
      <c r="O318" s="19" t="s">
        <v>2152</v>
      </c>
      <c r="P318" s="19" t="s">
        <v>2153</v>
      </c>
      <c r="Q318" s="12" t="str">
        <f t="shared" si="1"/>
        <v>https://ec.europa.eu/info/funding-tenders/opportunities/portal/screen/opportunities/topic-details/HORIZON-CL6-2026-01-BIODIV-03-two-stage</v>
      </c>
    </row>
    <row r="319" ht="66.0" customHeight="1">
      <c r="A319" s="4" t="s">
        <v>17</v>
      </c>
      <c r="B319" s="4" t="s">
        <v>18</v>
      </c>
      <c r="C319" s="4" t="s">
        <v>19</v>
      </c>
      <c r="D319" s="36" t="s">
        <v>2092</v>
      </c>
      <c r="E319" s="32" t="s">
        <v>2154</v>
      </c>
      <c r="F319" s="5" t="s">
        <v>2155</v>
      </c>
      <c r="G319" s="5" t="s">
        <v>2156</v>
      </c>
      <c r="H319" s="19" t="s">
        <v>1563</v>
      </c>
      <c r="I319" s="19" t="s">
        <v>1571</v>
      </c>
      <c r="J319" s="19" t="s">
        <v>2157</v>
      </c>
      <c r="K319" s="18" t="s">
        <v>27</v>
      </c>
      <c r="L319" s="18" t="s">
        <v>157</v>
      </c>
      <c r="M319" s="34">
        <v>46065.0</v>
      </c>
      <c r="N319" s="35" t="s">
        <v>2137</v>
      </c>
      <c r="O319" s="19" t="s">
        <v>2158</v>
      </c>
      <c r="P319" s="19" t="s">
        <v>2159</v>
      </c>
      <c r="Q319" s="12" t="str">
        <f t="shared" si="1"/>
        <v>https://ec.europa.eu/info/funding-tenders/opportunities/portal/screen/opportunities/topic-details/HORIZON-CL6-2026-01-BIODIV-04-two-stage</v>
      </c>
    </row>
    <row r="320" ht="66.0" customHeight="1">
      <c r="A320" s="4" t="s">
        <v>17</v>
      </c>
      <c r="B320" s="4" t="s">
        <v>18</v>
      </c>
      <c r="C320" s="4" t="s">
        <v>19</v>
      </c>
      <c r="D320" s="36" t="s">
        <v>2092</v>
      </c>
      <c r="E320" s="32" t="s">
        <v>2160</v>
      </c>
      <c r="F320" s="5" t="s">
        <v>2161</v>
      </c>
      <c r="G320" s="5" t="s">
        <v>2162</v>
      </c>
      <c r="H320" s="19"/>
      <c r="I320" s="19" t="s">
        <v>868</v>
      </c>
      <c r="J320" s="19" t="s">
        <v>2163</v>
      </c>
      <c r="K320" s="18" t="s">
        <v>27</v>
      </c>
      <c r="L320" s="18" t="s">
        <v>28</v>
      </c>
      <c r="M320" s="34">
        <v>46497.0</v>
      </c>
      <c r="N320" s="35">
        <v>46652.0</v>
      </c>
      <c r="O320" s="19" t="s">
        <v>2164</v>
      </c>
      <c r="P320" s="19" t="s">
        <v>2165</v>
      </c>
      <c r="Q320" s="12" t="str">
        <f t="shared" si="1"/>
        <v>https://ec.europa.eu/info/funding-tenders/opportunities/portal/screen/opportunities/topic-details/HORIZON-CL6-2027-01-BIODIV-01</v>
      </c>
    </row>
    <row r="321" ht="66.0" customHeight="1">
      <c r="A321" s="4" t="s">
        <v>17</v>
      </c>
      <c r="B321" s="4" t="s">
        <v>18</v>
      </c>
      <c r="C321" s="4" t="s">
        <v>19</v>
      </c>
      <c r="D321" s="36" t="s">
        <v>2092</v>
      </c>
      <c r="E321" s="32" t="s">
        <v>2166</v>
      </c>
      <c r="F321" s="5" t="s">
        <v>2167</v>
      </c>
      <c r="G321" s="5" t="s">
        <v>2168</v>
      </c>
      <c r="H321" s="19"/>
      <c r="I321" s="19" t="s">
        <v>2169</v>
      </c>
      <c r="J321" s="19" t="s">
        <v>2170</v>
      </c>
      <c r="K321" s="18" t="s">
        <v>39</v>
      </c>
      <c r="L321" s="18" t="s">
        <v>28</v>
      </c>
      <c r="M321" s="34">
        <v>46497.0</v>
      </c>
      <c r="N321" s="35">
        <v>46652.0</v>
      </c>
      <c r="O321" s="19" t="s">
        <v>2171</v>
      </c>
      <c r="P321" s="19" t="s">
        <v>2172</v>
      </c>
      <c r="Q321" s="12" t="str">
        <f t="shared" si="1"/>
        <v>https://ec.europa.eu/info/funding-tenders/opportunities/portal/screen/opportunities/topic-details/HORIZON-CL6-2027-01-BIODIV-02</v>
      </c>
    </row>
    <row r="322" ht="66.0" customHeight="1">
      <c r="A322" s="4" t="s">
        <v>17</v>
      </c>
      <c r="B322" s="4" t="s">
        <v>18</v>
      </c>
      <c r="C322" s="4" t="s">
        <v>19</v>
      </c>
      <c r="D322" s="36" t="s">
        <v>2092</v>
      </c>
      <c r="E322" s="32" t="s">
        <v>2173</v>
      </c>
      <c r="F322" s="5" t="s">
        <v>2174</v>
      </c>
      <c r="G322" s="5" t="s">
        <v>2175</v>
      </c>
      <c r="H322" s="19"/>
      <c r="I322" s="19" t="s">
        <v>2176</v>
      </c>
      <c r="J322" s="19" t="s">
        <v>2177</v>
      </c>
      <c r="K322" s="18" t="s">
        <v>239</v>
      </c>
      <c r="L322" s="18" t="s">
        <v>28</v>
      </c>
      <c r="M322" s="34">
        <v>46497.0</v>
      </c>
      <c r="N322" s="35">
        <v>46652.0</v>
      </c>
      <c r="O322" s="19" t="s">
        <v>2178</v>
      </c>
      <c r="P322" s="19" t="s">
        <v>2179</v>
      </c>
      <c r="Q322" s="12" t="str">
        <f t="shared" si="1"/>
        <v>https://ec.europa.eu/info/funding-tenders/opportunities/portal/screen/opportunities/topic-details/HORIZON-CL6-2027-01-BIODIV-03</v>
      </c>
    </row>
    <row r="323" ht="66.0" customHeight="1">
      <c r="A323" s="4" t="s">
        <v>17</v>
      </c>
      <c r="B323" s="4" t="s">
        <v>18</v>
      </c>
      <c r="C323" s="4" t="s">
        <v>19</v>
      </c>
      <c r="D323" s="36" t="s">
        <v>2092</v>
      </c>
      <c r="E323" s="32" t="s">
        <v>2180</v>
      </c>
      <c r="F323" s="5" t="s">
        <v>2181</v>
      </c>
      <c r="G323" s="5" t="s">
        <v>2182</v>
      </c>
      <c r="H323" s="19" t="s">
        <v>1667</v>
      </c>
      <c r="I323" s="19" t="s">
        <v>2096</v>
      </c>
      <c r="J323" s="19" t="s">
        <v>2183</v>
      </c>
      <c r="K323" s="18" t="s">
        <v>27</v>
      </c>
      <c r="L323" s="18" t="s">
        <v>28</v>
      </c>
      <c r="M323" s="34">
        <v>46497.0</v>
      </c>
      <c r="N323" s="35">
        <v>46652.0</v>
      </c>
      <c r="O323" s="19" t="s">
        <v>2184</v>
      </c>
      <c r="P323" s="19" t="s">
        <v>2185</v>
      </c>
      <c r="Q323" s="12" t="str">
        <f t="shared" si="1"/>
        <v>https://ec.europa.eu/info/funding-tenders/opportunities/portal/screen/opportunities/topic-details/HORIZON-CL6-2027-01-BIODIV-04</v>
      </c>
    </row>
    <row r="324" ht="66.0" customHeight="1">
      <c r="A324" s="4" t="s">
        <v>17</v>
      </c>
      <c r="B324" s="4" t="s">
        <v>18</v>
      </c>
      <c r="C324" s="4" t="s">
        <v>19</v>
      </c>
      <c r="D324" s="36" t="s">
        <v>2092</v>
      </c>
      <c r="E324" s="32" t="s">
        <v>2186</v>
      </c>
      <c r="F324" s="5" t="s">
        <v>2187</v>
      </c>
      <c r="G324" s="5" t="s">
        <v>2188</v>
      </c>
      <c r="H324" s="19" t="s">
        <v>2189</v>
      </c>
      <c r="I324" s="19" t="s">
        <v>1515</v>
      </c>
      <c r="J324" s="19" t="s">
        <v>2190</v>
      </c>
      <c r="K324" s="18" t="s">
        <v>27</v>
      </c>
      <c r="L324" s="18" t="s">
        <v>28</v>
      </c>
      <c r="M324" s="34">
        <v>46497.0</v>
      </c>
      <c r="N324" s="35">
        <v>46652.0</v>
      </c>
      <c r="O324" s="19" t="s">
        <v>2191</v>
      </c>
      <c r="P324" s="19" t="s">
        <v>2192</v>
      </c>
      <c r="Q324" s="12" t="str">
        <f t="shared" si="1"/>
        <v>https://ec.europa.eu/info/funding-tenders/opportunities/portal/screen/opportunities/topic-details/HORIZON-CL6-2027-01-BIODIV-05</v>
      </c>
    </row>
    <row r="325" ht="66.0" customHeight="1">
      <c r="A325" s="4" t="s">
        <v>17</v>
      </c>
      <c r="B325" s="4" t="s">
        <v>18</v>
      </c>
      <c r="C325" s="4" t="s">
        <v>19</v>
      </c>
      <c r="D325" s="36" t="s">
        <v>2092</v>
      </c>
      <c r="E325" s="32" t="s">
        <v>2193</v>
      </c>
      <c r="F325" s="5" t="s">
        <v>2194</v>
      </c>
      <c r="G325" s="5" t="s">
        <v>2195</v>
      </c>
      <c r="H325" s="19" t="s">
        <v>2196</v>
      </c>
      <c r="I325" s="19" t="s">
        <v>1556</v>
      </c>
      <c r="J325" s="19" t="s">
        <v>2197</v>
      </c>
      <c r="K325" s="18" t="s">
        <v>27</v>
      </c>
      <c r="L325" s="18" t="s">
        <v>28</v>
      </c>
      <c r="M325" s="34">
        <v>46497.0</v>
      </c>
      <c r="N325" s="35">
        <v>46652.0</v>
      </c>
      <c r="O325" s="19" t="s">
        <v>2198</v>
      </c>
      <c r="P325" s="19" t="s">
        <v>2199</v>
      </c>
      <c r="Q325" s="12" t="str">
        <f t="shared" si="1"/>
        <v>https://ec.europa.eu/info/funding-tenders/opportunities/portal/screen/opportunities/topic-details/HORIZON-CL6-2027-01-BIODIV-06</v>
      </c>
    </row>
    <row r="326" ht="66.0" customHeight="1">
      <c r="A326" s="4" t="s">
        <v>17</v>
      </c>
      <c r="B326" s="4" t="s">
        <v>18</v>
      </c>
      <c r="C326" s="4" t="s">
        <v>19</v>
      </c>
      <c r="D326" s="36" t="s">
        <v>2092</v>
      </c>
      <c r="E326" s="32" t="s">
        <v>2200</v>
      </c>
      <c r="F326" s="5" t="s">
        <v>2201</v>
      </c>
      <c r="G326" s="5" t="s">
        <v>2202</v>
      </c>
      <c r="H326" s="19" t="s">
        <v>2203</v>
      </c>
      <c r="I326" s="19" t="s">
        <v>2204</v>
      </c>
      <c r="J326" s="19" t="s">
        <v>2205</v>
      </c>
      <c r="K326" s="18" t="s">
        <v>27</v>
      </c>
      <c r="L326" s="18" t="s">
        <v>28</v>
      </c>
      <c r="M326" s="34">
        <v>46497.0</v>
      </c>
      <c r="N326" s="35">
        <v>46652.0</v>
      </c>
      <c r="O326" s="19" t="s">
        <v>2206</v>
      </c>
      <c r="P326" s="19" t="s">
        <v>2207</v>
      </c>
      <c r="Q326" s="12" t="str">
        <f t="shared" si="1"/>
        <v>https://ec.europa.eu/info/funding-tenders/opportunities/portal/screen/opportunities/topic-details/HORIZON-CL6-2027-01-BIODIV-07</v>
      </c>
    </row>
    <row r="327" ht="66.0" customHeight="1">
      <c r="A327" s="4" t="s">
        <v>17</v>
      </c>
      <c r="B327" s="4" t="s">
        <v>18</v>
      </c>
      <c r="C327" s="4" t="s">
        <v>19</v>
      </c>
      <c r="D327" s="36" t="s">
        <v>2092</v>
      </c>
      <c r="E327" s="32" t="s">
        <v>2208</v>
      </c>
      <c r="F327" s="5" t="s">
        <v>2209</v>
      </c>
      <c r="G327" s="5" t="s">
        <v>2210</v>
      </c>
      <c r="H327" s="19"/>
      <c r="I327" s="19" t="s">
        <v>2211</v>
      </c>
      <c r="J327" s="19" t="s">
        <v>2212</v>
      </c>
      <c r="K327" s="18" t="s">
        <v>27</v>
      </c>
      <c r="L327" s="18" t="s">
        <v>28</v>
      </c>
      <c r="M327" s="34">
        <v>46497.0</v>
      </c>
      <c r="N327" s="35">
        <v>46652.0</v>
      </c>
      <c r="O327" s="19" t="s">
        <v>2213</v>
      </c>
      <c r="P327" s="19" t="s">
        <v>2214</v>
      </c>
      <c r="Q327" s="12" t="str">
        <f t="shared" si="1"/>
        <v>https://ec.europa.eu/info/funding-tenders/opportunities/portal/screen/opportunities/topic-details/HORIZON-CL6-2027-01-BIODIV-08</v>
      </c>
    </row>
    <row r="328" ht="66.0" customHeight="1">
      <c r="A328" s="4" t="s">
        <v>17</v>
      </c>
      <c r="B328" s="4" t="s">
        <v>18</v>
      </c>
      <c r="C328" s="4" t="s">
        <v>19</v>
      </c>
      <c r="D328" s="36" t="s">
        <v>2092</v>
      </c>
      <c r="E328" s="32" t="s">
        <v>2215</v>
      </c>
      <c r="F328" s="5" t="s">
        <v>2216</v>
      </c>
      <c r="G328" s="5" t="s">
        <v>2217</v>
      </c>
      <c r="H328" s="19"/>
      <c r="I328" s="19" t="s">
        <v>2218</v>
      </c>
      <c r="J328" s="19" t="s">
        <v>2219</v>
      </c>
      <c r="K328" s="18" t="s">
        <v>27</v>
      </c>
      <c r="L328" s="18" t="s">
        <v>28</v>
      </c>
      <c r="M328" s="34">
        <v>46497.0</v>
      </c>
      <c r="N328" s="35">
        <v>46652.0</v>
      </c>
      <c r="O328" s="19" t="s">
        <v>2220</v>
      </c>
      <c r="P328" s="19" t="s">
        <v>2221</v>
      </c>
      <c r="Q328" s="12" t="str">
        <f t="shared" si="1"/>
        <v>https://ec.europa.eu/info/funding-tenders/opportunities/portal/screen/opportunities/topic-details/HORIZON-CL6-2027-01-BIODIV-09</v>
      </c>
    </row>
    <row r="329" ht="66.0" customHeight="1">
      <c r="A329" s="4" t="s">
        <v>17</v>
      </c>
      <c r="B329" s="4" t="s">
        <v>18</v>
      </c>
      <c r="C329" s="4" t="s">
        <v>19</v>
      </c>
      <c r="D329" s="36" t="s">
        <v>2092</v>
      </c>
      <c r="E329" s="32" t="s">
        <v>2222</v>
      </c>
      <c r="F329" s="5" t="s">
        <v>2223</v>
      </c>
      <c r="G329" s="5" t="s">
        <v>2224</v>
      </c>
      <c r="H329" s="19"/>
      <c r="I329" s="19" t="s">
        <v>2225</v>
      </c>
      <c r="J329" s="19" t="s">
        <v>2226</v>
      </c>
      <c r="K329" s="18" t="s">
        <v>239</v>
      </c>
      <c r="L329" s="18" t="s">
        <v>28</v>
      </c>
      <c r="M329" s="34">
        <v>46036.0</v>
      </c>
      <c r="N329" s="35">
        <v>46126.0</v>
      </c>
      <c r="O329" s="19" t="s">
        <v>2227</v>
      </c>
      <c r="P329" s="19" t="s">
        <v>2228</v>
      </c>
      <c r="Q329" s="12" t="str">
        <f t="shared" si="1"/>
        <v>https://ec.europa.eu/info/funding-tenders/opportunities/portal/screen/opportunities/topic-details/HORIZON-CL6-2026-02-FARM2FORK-01</v>
      </c>
    </row>
    <row r="330" ht="66.0" customHeight="1">
      <c r="A330" s="4" t="s">
        <v>17</v>
      </c>
      <c r="B330" s="4" t="s">
        <v>18</v>
      </c>
      <c r="C330" s="4" t="s">
        <v>19</v>
      </c>
      <c r="D330" s="36" t="s">
        <v>2092</v>
      </c>
      <c r="E330" s="32" t="s">
        <v>2229</v>
      </c>
      <c r="F330" s="5" t="s">
        <v>2230</v>
      </c>
      <c r="G330" s="5" t="s">
        <v>2231</v>
      </c>
      <c r="H330" s="19"/>
      <c r="I330" s="19" t="s">
        <v>2129</v>
      </c>
      <c r="J330" s="19" t="s">
        <v>2232</v>
      </c>
      <c r="K330" s="18" t="s">
        <v>27</v>
      </c>
      <c r="L330" s="18" t="s">
        <v>28</v>
      </c>
      <c r="M330" s="34">
        <v>46036.0</v>
      </c>
      <c r="N330" s="35">
        <v>46126.0</v>
      </c>
      <c r="O330" s="19" t="s">
        <v>2233</v>
      </c>
      <c r="P330" s="19" t="s">
        <v>2234</v>
      </c>
      <c r="Q330" s="12" t="str">
        <f t="shared" si="1"/>
        <v>https://ec.europa.eu/info/funding-tenders/opportunities/portal/screen/opportunities/topic-details/HORIZON-CL6-2026-02-FARM2FORK-02</v>
      </c>
    </row>
    <row r="331" ht="66.0" customHeight="1">
      <c r="A331" s="4" t="s">
        <v>17</v>
      </c>
      <c r="B331" s="4" t="s">
        <v>18</v>
      </c>
      <c r="C331" s="4" t="s">
        <v>19</v>
      </c>
      <c r="D331" s="36" t="s">
        <v>2092</v>
      </c>
      <c r="E331" s="32" t="s">
        <v>2235</v>
      </c>
      <c r="F331" s="5" t="s">
        <v>2236</v>
      </c>
      <c r="G331" s="5" t="s">
        <v>2237</v>
      </c>
      <c r="H331" s="19"/>
      <c r="I331" s="19" t="s">
        <v>2129</v>
      </c>
      <c r="J331" s="19" t="s">
        <v>2238</v>
      </c>
      <c r="K331" s="18" t="s">
        <v>239</v>
      </c>
      <c r="L331" s="18" t="s">
        <v>28</v>
      </c>
      <c r="M331" s="34">
        <v>46036.0</v>
      </c>
      <c r="N331" s="35">
        <v>46126.0</v>
      </c>
      <c r="O331" s="19" t="s">
        <v>2239</v>
      </c>
      <c r="P331" s="19" t="s">
        <v>2240</v>
      </c>
      <c r="Q331" s="12" t="str">
        <f t="shared" si="1"/>
        <v>https://ec.europa.eu/info/funding-tenders/opportunities/portal/screen/opportunities/topic-details/HORIZON-CL6-2026-02-FARM2FORK-03</v>
      </c>
    </row>
    <row r="332" ht="66.0" customHeight="1">
      <c r="A332" s="4" t="s">
        <v>17</v>
      </c>
      <c r="B332" s="4" t="s">
        <v>18</v>
      </c>
      <c r="C332" s="4" t="s">
        <v>19</v>
      </c>
      <c r="D332" s="36" t="s">
        <v>2092</v>
      </c>
      <c r="E332" s="32" t="s">
        <v>2241</v>
      </c>
      <c r="F332" s="5" t="s">
        <v>2242</v>
      </c>
      <c r="G332" s="5" t="s">
        <v>2243</v>
      </c>
      <c r="H332" s="19"/>
      <c r="I332" s="19" t="s">
        <v>2244</v>
      </c>
      <c r="J332" s="19" t="s">
        <v>2245</v>
      </c>
      <c r="K332" s="18" t="s">
        <v>27</v>
      </c>
      <c r="L332" s="18" t="s">
        <v>28</v>
      </c>
      <c r="M332" s="34">
        <v>46036.0</v>
      </c>
      <c r="N332" s="35">
        <v>46126.0</v>
      </c>
      <c r="O332" s="19" t="s">
        <v>2246</v>
      </c>
      <c r="P332" s="19" t="s">
        <v>2247</v>
      </c>
      <c r="Q332" s="12" t="str">
        <f t="shared" si="1"/>
        <v>https://ec.europa.eu/info/funding-tenders/opportunities/portal/screen/opportunities/topic-details/HORIZON-CL6-2026-02-FARM2FORK-04</v>
      </c>
    </row>
    <row r="333" ht="66.0" customHeight="1">
      <c r="A333" s="4" t="s">
        <v>17</v>
      </c>
      <c r="B333" s="4" t="s">
        <v>18</v>
      </c>
      <c r="C333" s="4" t="s">
        <v>19</v>
      </c>
      <c r="D333" s="36" t="s">
        <v>2092</v>
      </c>
      <c r="E333" s="32" t="s">
        <v>2248</v>
      </c>
      <c r="F333" s="5" t="s">
        <v>2249</v>
      </c>
      <c r="G333" s="5" t="s">
        <v>2250</v>
      </c>
      <c r="H333" s="19"/>
      <c r="I333" s="19" t="s">
        <v>2129</v>
      </c>
      <c r="J333" s="19" t="s">
        <v>2251</v>
      </c>
      <c r="K333" s="18" t="s">
        <v>27</v>
      </c>
      <c r="L333" s="18" t="s">
        <v>28</v>
      </c>
      <c r="M333" s="34">
        <v>46036.0</v>
      </c>
      <c r="N333" s="35">
        <v>46126.0</v>
      </c>
      <c r="O333" s="19" t="s">
        <v>2252</v>
      </c>
      <c r="P333" s="19" t="s">
        <v>2253</v>
      </c>
      <c r="Q333" s="12" t="str">
        <f t="shared" si="1"/>
        <v>https://ec.europa.eu/info/funding-tenders/opportunities/portal/screen/opportunities/topic-details/HORIZON-CL6-2026-02-FARM2FORK-05</v>
      </c>
    </row>
    <row r="334" ht="66.0" customHeight="1">
      <c r="A334" s="4" t="s">
        <v>17</v>
      </c>
      <c r="B334" s="4" t="s">
        <v>18</v>
      </c>
      <c r="C334" s="4" t="s">
        <v>19</v>
      </c>
      <c r="D334" s="36" t="s">
        <v>2092</v>
      </c>
      <c r="E334" s="32" t="s">
        <v>2254</v>
      </c>
      <c r="F334" s="5" t="s">
        <v>2255</v>
      </c>
      <c r="G334" s="5" t="s">
        <v>2256</v>
      </c>
      <c r="H334" s="19"/>
      <c r="I334" s="19" t="s">
        <v>1668</v>
      </c>
      <c r="J334" s="19" t="s">
        <v>2257</v>
      </c>
      <c r="K334" s="18" t="s">
        <v>239</v>
      </c>
      <c r="L334" s="18" t="s">
        <v>28</v>
      </c>
      <c r="M334" s="34">
        <v>46036.0</v>
      </c>
      <c r="N334" s="35">
        <v>46126.0</v>
      </c>
      <c r="O334" s="19" t="s">
        <v>2258</v>
      </c>
      <c r="P334" s="19" t="s">
        <v>2259</v>
      </c>
      <c r="Q334" s="12" t="str">
        <f t="shared" si="1"/>
        <v>https://ec.europa.eu/info/funding-tenders/opportunities/portal/screen/opportunities/topic-details/HORIZON-CL6-2026-02-FARM2FORK-06</v>
      </c>
    </row>
    <row r="335" ht="66.0" customHeight="1">
      <c r="A335" s="4" t="s">
        <v>17</v>
      </c>
      <c r="B335" s="4" t="s">
        <v>18</v>
      </c>
      <c r="C335" s="4" t="s">
        <v>19</v>
      </c>
      <c r="D335" s="36" t="s">
        <v>2092</v>
      </c>
      <c r="E335" s="32" t="s">
        <v>2260</v>
      </c>
      <c r="F335" s="5" t="s">
        <v>2261</v>
      </c>
      <c r="G335" s="5" t="s">
        <v>2262</v>
      </c>
      <c r="H335" s="19"/>
      <c r="I335" s="19" t="s">
        <v>2129</v>
      </c>
      <c r="J335" s="19" t="s">
        <v>2263</v>
      </c>
      <c r="K335" s="18" t="s">
        <v>39</v>
      </c>
      <c r="L335" s="18" t="s">
        <v>28</v>
      </c>
      <c r="M335" s="34">
        <v>46036.0</v>
      </c>
      <c r="N335" s="35">
        <v>46126.0</v>
      </c>
      <c r="O335" s="19" t="s">
        <v>2264</v>
      </c>
      <c r="P335" s="19" t="s">
        <v>2265</v>
      </c>
      <c r="Q335" s="12" t="str">
        <f t="shared" si="1"/>
        <v>https://ec.europa.eu/info/funding-tenders/opportunities/portal/screen/opportunities/topic-details/HORIZON-CL6-2026-02-FARM2FORK-07</v>
      </c>
    </row>
    <row r="336" ht="66.0" customHeight="1">
      <c r="A336" s="4" t="s">
        <v>17</v>
      </c>
      <c r="B336" s="4" t="s">
        <v>18</v>
      </c>
      <c r="C336" s="4" t="s">
        <v>19</v>
      </c>
      <c r="D336" s="36" t="s">
        <v>2092</v>
      </c>
      <c r="E336" s="32" t="s">
        <v>2266</v>
      </c>
      <c r="F336" s="5" t="s">
        <v>2267</v>
      </c>
      <c r="G336" s="5" t="s">
        <v>2268</v>
      </c>
      <c r="H336" s="19" t="s">
        <v>189</v>
      </c>
      <c r="I336" s="19" t="s">
        <v>2116</v>
      </c>
      <c r="J336" s="19" t="s">
        <v>2269</v>
      </c>
      <c r="K336" s="18" t="s">
        <v>27</v>
      </c>
      <c r="L336" s="18" t="s">
        <v>28</v>
      </c>
      <c r="M336" s="34">
        <v>46036.0</v>
      </c>
      <c r="N336" s="35">
        <v>46126.0</v>
      </c>
      <c r="O336" s="19" t="s">
        <v>2270</v>
      </c>
      <c r="P336" s="19" t="s">
        <v>2271</v>
      </c>
      <c r="Q336" s="12" t="str">
        <f t="shared" si="1"/>
        <v>https://ec.europa.eu/info/funding-tenders/opportunities/portal/screen/opportunities/topic-details/HORIZON-CL6-2026-02-FARM2FORK-08</v>
      </c>
    </row>
    <row r="337" ht="66.0" customHeight="1">
      <c r="A337" s="4" t="s">
        <v>17</v>
      </c>
      <c r="B337" s="4" t="s">
        <v>18</v>
      </c>
      <c r="C337" s="4" t="s">
        <v>19</v>
      </c>
      <c r="D337" s="36" t="s">
        <v>2092</v>
      </c>
      <c r="E337" s="32" t="s">
        <v>2272</v>
      </c>
      <c r="F337" s="5" t="s">
        <v>2273</v>
      </c>
      <c r="G337" s="5" t="s">
        <v>2274</v>
      </c>
      <c r="H337" s="19" t="s">
        <v>2275</v>
      </c>
      <c r="I337" s="19" t="s">
        <v>127</v>
      </c>
      <c r="J337" s="19" t="s">
        <v>2276</v>
      </c>
      <c r="K337" s="18" t="s">
        <v>239</v>
      </c>
      <c r="L337" s="18" t="s">
        <v>28</v>
      </c>
      <c r="M337" s="34">
        <v>46036.0</v>
      </c>
      <c r="N337" s="35">
        <v>46126.0</v>
      </c>
      <c r="O337" s="19" t="s">
        <v>2277</v>
      </c>
      <c r="P337" s="19" t="s">
        <v>2278</v>
      </c>
      <c r="Q337" s="12" t="str">
        <f t="shared" si="1"/>
        <v>https://ec.europa.eu/info/funding-tenders/opportunities/portal/screen/opportunities/topic-details/HORIZON-CL6-2026-02-FARM2FORK-09</v>
      </c>
    </row>
    <row r="338" ht="66.0" customHeight="1">
      <c r="A338" s="4" t="s">
        <v>17</v>
      </c>
      <c r="B338" s="4" t="s">
        <v>18</v>
      </c>
      <c r="C338" s="4" t="s">
        <v>19</v>
      </c>
      <c r="D338" s="36" t="s">
        <v>2092</v>
      </c>
      <c r="E338" s="32" t="s">
        <v>2279</v>
      </c>
      <c r="F338" s="5" t="s">
        <v>2280</v>
      </c>
      <c r="G338" s="5" t="s">
        <v>2281</v>
      </c>
      <c r="H338" s="19" t="s">
        <v>2282</v>
      </c>
      <c r="I338" s="19" t="s">
        <v>65</v>
      </c>
      <c r="J338" s="19" t="s">
        <v>2283</v>
      </c>
      <c r="K338" s="18" t="s">
        <v>39</v>
      </c>
      <c r="L338" s="18" t="s">
        <v>28</v>
      </c>
      <c r="M338" s="34">
        <v>46036.0</v>
      </c>
      <c r="N338" s="35">
        <v>46126.0</v>
      </c>
      <c r="O338" s="19" t="s">
        <v>2284</v>
      </c>
      <c r="P338" s="19" t="s">
        <v>2285</v>
      </c>
      <c r="Q338" s="12" t="str">
        <f t="shared" si="1"/>
        <v>https://ec.europa.eu/info/funding-tenders/opportunities/portal/screen/opportunities/topic-details/HORIZON-CL6-2026-02-FARM2FORK-10</v>
      </c>
    </row>
    <row r="339" ht="66.0" customHeight="1">
      <c r="A339" s="4" t="s">
        <v>17</v>
      </c>
      <c r="B339" s="4" t="s">
        <v>18</v>
      </c>
      <c r="C339" s="4" t="s">
        <v>19</v>
      </c>
      <c r="D339" s="36" t="s">
        <v>2092</v>
      </c>
      <c r="E339" s="32" t="s">
        <v>2286</v>
      </c>
      <c r="F339" s="5" t="s">
        <v>2287</v>
      </c>
      <c r="G339" s="5" t="s">
        <v>2288</v>
      </c>
      <c r="H339" s="19"/>
      <c r="I339" s="19" t="s">
        <v>2289</v>
      </c>
      <c r="J339" s="19" t="s">
        <v>2290</v>
      </c>
      <c r="K339" s="18" t="s">
        <v>27</v>
      </c>
      <c r="L339" s="18" t="s">
        <v>28</v>
      </c>
      <c r="M339" s="34">
        <v>46036.0</v>
      </c>
      <c r="N339" s="35">
        <v>46126.0</v>
      </c>
      <c r="O339" s="19" t="s">
        <v>2291</v>
      </c>
      <c r="P339" s="19" t="s">
        <v>2292</v>
      </c>
      <c r="Q339" s="12" t="str">
        <f t="shared" si="1"/>
        <v>https://ec.europa.eu/info/funding-tenders/opportunities/portal/screen/opportunities/topic-details/HORIZON-CL6-2026-02-FARM2FORK-11</v>
      </c>
    </row>
    <row r="340" ht="66.0" customHeight="1">
      <c r="A340" s="4" t="s">
        <v>17</v>
      </c>
      <c r="B340" s="4" t="s">
        <v>18</v>
      </c>
      <c r="C340" s="4" t="s">
        <v>19</v>
      </c>
      <c r="D340" s="36" t="s">
        <v>2092</v>
      </c>
      <c r="E340" s="32" t="s">
        <v>2293</v>
      </c>
      <c r="F340" s="5" t="s">
        <v>2294</v>
      </c>
      <c r="G340" s="5" t="s">
        <v>2295</v>
      </c>
      <c r="H340" s="19"/>
      <c r="I340" s="19" t="s">
        <v>65</v>
      </c>
      <c r="J340" s="19" t="s">
        <v>2296</v>
      </c>
      <c r="K340" s="18" t="s">
        <v>39</v>
      </c>
      <c r="L340" s="18" t="s">
        <v>28</v>
      </c>
      <c r="M340" s="34">
        <v>46036.0</v>
      </c>
      <c r="N340" s="35">
        <v>46126.0</v>
      </c>
      <c r="O340" s="19" t="s">
        <v>2297</v>
      </c>
      <c r="P340" s="19" t="s">
        <v>2298</v>
      </c>
      <c r="Q340" s="12" t="str">
        <f t="shared" si="1"/>
        <v>https://ec.europa.eu/info/funding-tenders/opportunities/portal/screen/opportunities/topic-details/HORIZON-CL6-2026-02-FARM2FORK-12</v>
      </c>
    </row>
    <row r="341" ht="66.0" customHeight="1">
      <c r="A341" s="4" t="s">
        <v>17</v>
      </c>
      <c r="B341" s="4" t="s">
        <v>18</v>
      </c>
      <c r="C341" s="4" t="s">
        <v>19</v>
      </c>
      <c r="D341" s="36" t="s">
        <v>2092</v>
      </c>
      <c r="E341" s="32" t="s">
        <v>2299</v>
      </c>
      <c r="F341" s="5" t="s">
        <v>2300</v>
      </c>
      <c r="G341" s="5" t="s">
        <v>2301</v>
      </c>
      <c r="H341" s="19"/>
      <c r="I341" s="19" t="s">
        <v>2129</v>
      </c>
      <c r="J341" s="19" t="s">
        <v>2302</v>
      </c>
      <c r="K341" s="18" t="s">
        <v>27</v>
      </c>
      <c r="L341" s="18" t="s">
        <v>28</v>
      </c>
      <c r="M341" s="34">
        <v>46036.0</v>
      </c>
      <c r="N341" s="35">
        <v>46126.0</v>
      </c>
      <c r="O341" s="19" t="s">
        <v>2303</v>
      </c>
      <c r="P341" s="19" t="s">
        <v>2304</v>
      </c>
      <c r="Q341" s="12" t="str">
        <f t="shared" si="1"/>
        <v>https://ec.europa.eu/info/funding-tenders/opportunities/portal/screen/opportunities/topic-details/HORIZON-CL6-2026-02-FARM2FORK-13</v>
      </c>
    </row>
    <row r="342" ht="66.0" customHeight="1">
      <c r="A342" s="4" t="s">
        <v>17</v>
      </c>
      <c r="B342" s="4" t="s">
        <v>18</v>
      </c>
      <c r="C342" s="4" t="s">
        <v>19</v>
      </c>
      <c r="D342" s="36" t="s">
        <v>2092</v>
      </c>
      <c r="E342" s="32" t="s">
        <v>2305</v>
      </c>
      <c r="F342" s="5" t="s">
        <v>2306</v>
      </c>
      <c r="G342" s="5" t="s">
        <v>2307</v>
      </c>
      <c r="H342" s="19"/>
      <c r="I342" s="19" t="s">
        <v>2129</v>
      </c>
      <c r="J342" s="19" t="s">
        <v>2308</v>
      </c>
      <c r="K342" s="18" t="s">
        <v>27</v>
      </c>
      <c r="L342" s="18" t="s">
        <v>28</v>
      </c>
      <c r="M342" s="34">
        <v>46036.0</v>
      </c>
      <c r="N342" s="35">
        <v>46126.0</v>
      </c>
      <c r="O342" s="19" t="s">
        <v>2309</v>
      </c>
      <c r="P342" s="19" t="s">
        <v>2310</v>
      </c>
      <c r="Q342" s="12" t="str">
        <f t="shared" si="1"/>
        <v>https://ec.europa.eu/info/funding-tenders/opportunities/portal/screen/opportunities/topic-details/HORIZON-CL6-2026-02-FARM2FORK-14</v>
      </c>
    </row>
    <row r="343" ht="66.0" customHeight="1">
      <c r="A343" s="4" t="s">
        <v>17</v>
      </c>
      <c r="B343" s="4" t="s">
        <v>18</v>
      </c>
      <c r="C343" s="4" t="s">
        <v>19</v>
      </c>
      <c r="D343" s="36" t="s">
        <v>2092</v>
      </c>
      <c r="E343" s="32" t="s">
        <v>2311</v>
      </c>
      <c r="F343" s="5" t="s">
        <v>2312</v>
      </c>
      <c r="G343" s="5" t="s">
        <v>2313</v>
      </c>
      <c r="H343" s="19" t="s">
        <v>2314</v>
      </c>
      <c r="I343" s="19" t="s">
        <v>2129</v>
      </c>
      <c r="J343" s="19" t="s">
        <v>2315</v>
      </c>
      <c r="K343" s="18" t="s">
        <v>239</v>
      </c>
      <c r="L343" s="18" t="s">
        <v>157</v>
      </c>
      <c r="M343" s="34">
        <v>46065.0</v>
      </c>
      <c r="N343" s="35" t="s">
        <v>2316</v>
      </c>
      <c r="O343" s="19" t="s">
        <v>2317</v>
      </c>
      <c r="P343" s="19" t="s">
        <v>2318</v>
      </c>
      <c r="Q343" s="12" t="str">
        <f t="shared" si="1"/>
        <v>https://ec.europa.eu/info/funding-tenders/opportunities/portal/screen/opportunities/topic-details/HORIZON-CL6-2026-02-FARM2FORK-01-two-stage</v>
      </c>
    </row>
    <row r="344" ht="66.0" customHeight="1">
      <c r="A344" s="4" t="s">
        <v>17</v>
      </c>
      <c r="B344" s="4" t="s">
        <v>18</v>
      </c>
      <c r="C344" s="4" t="s">
        <v>19</v>
      </c>
      <c r="D344" s="36" t="s">
        <v>2092</v>
      </c>
      <c r="E344" s="32" t="s">
        <v>2319</v>
      </c>
      <c r="F344" s="5" t="s">
        <v>2320</v>
      </c>
      <c r="G344" s="5" t="s">
        <v>2321</v>
      </c>
      <c r="H344" s="19" t="s">
        <v>1563</v>
      </c>
      <c r="I344" s="19" t="s">
        <v>2129</v>
      </c>
      <c r="J344" s="19" t="s">
        <v>2322</v>
      </c>
      <c r="K344" s="18" t="s">
        <v>239</v>
      </c>
      <c r="L344" s="18" t="s">
        <v>157</v>
      </c>
      <c r="M344" s="34">
        <v>46065.0</v>
      </c>
      <c r="N344" s="35" t="s">
        <v>2316</v>
      </c>
      <c r="O344" s="19" t="s">
        <v>2323</v>
      </c>
      <c r="P344" s="19" t="s">
        <v>2324</v>
      </c>
      <c r="Q344" s="12" t="str">
        <f t="shared" si="1"/>
        <v>https://ec.europa.eu/info/funding-tenders/opportunities/portal/screen/opportunities/topic-details/HORIZON-CL6-2026-02-FARM2FORK-02-two-stage</v>
      </c>
    </row>
    <row r="345" ht="66.0" customHeight="1">
      <c r="A345" s="4" t="s">
        <v>17</v>
      </c>
      <c r="B345" s="4" t="s">
        <v>18</v>
      </c>
      <c r="C345" s="4" t="s">
        <v>19</v>
      </c>
      <c r="D345" s="36" t="s">
        <v>2092</v>
      </c>
      <c r="E345" s="32" t="s">
        <v>2325</v>
      </c>
      <c r="F345" s="5" t="s">
        <v>2326</v>
      </c>
      <c r="G345" s="5" t="s">
        <v>2327</v>
      </c>
      <c r="H345" s="19" t="s">
        <v>2328</v>
      </c>
      <c r="I345" s="19" t="s">
        <v>2329</v>
      </c>
      <c r="J345" s="19" t="s">
        <v>2330</v>
      </c>
      <c r="K345" s="18" t="s">
        <v>27</v>
      </c>
      <c r="L345" s="18" t="s">
        <v>28</v>
      </c>
      <c r="M345" s="34">
        <v>46497.0</v>
      </c>
      <c r="N345" s="35">
        <v>46653.0</v>
      </c>
      <c r="O345" s="19" t="s">
        <v>2331</v>
      </c>
      <c r="P345" s="19" t="s">
        <v>2332</v>
      </c>
      <c r="Q345" s="12" t="str">
        <f t="shared" si="1"/>
        <v>https://ec.europa.eu/info/funding-tenders/opportunities/portal/screen/opportunities/topic-details/HORIZON-CL6-2027-02-FARM2FORK-01</v>
      </c>
    </row>
    <row r="346" ht="66.0" customHeight="1">
      <c r="A346" s="4" t="s">
        <v>17</v>
      </c>
      <c r="B346" s="4" t="s">
        <v>18</v>
      </c>
      <c r="C346" s="4" t="s">
        <v>19</v>
      </c>
      <c r="D346" s="36" t="s">
        <v>2092</v>
      </c>
      <c r="E346" s="32" t="s">
        <v>2333</v>
      </c>
      <c r="F346" s="5" t="s">
        <v>2334</v>
      </c>
      <c r="G346" s="5" t="s">
        <v>2335</v>
      </c>
      <c r="H346" s="19"/>
      <c r="I346" s="19" t="s">
        <v>2129</v>
      </c>
      <c r="J346" s="19" t="s">
        <v>2336</v>
      </c>
      <c r="K346" s="18" t="s">
        <v>239</v>
      </c>
      <c r="L346" s="18" t="s">
        <v>28</v>
      </c>
      <c r="M346" s="34">
        <v>46497.0</v>
      </c>
      <c r="N346" s="35">
        <v>46653.0</v>
      </c>
      <c r="O346" s="19" t="s">
        <v>2337</v>
      </c>
      <c r="P346" s="19" t="s">
        <v>2338</v>
      </c>
      <c r="Q346" s="12" t="str">
        <f t="shared" si="1"/>
        <v>https://ec.europa.eu/info/funding-tenders/opportunities/portal/screen/opportunities/topic-details/HORIZON-CL6-2027-02-FARM2FORK-02</v>
      </c>
    </row>
    <row r="347" ht="66.0" customHeight="1">
      <c r="A347" s="4" t="s">
        <v>17</v>
      </c>
      <c r="B347" s="4" t="s">
        <v>18</v>
      </c>
      <c r="C347" s="4" t="s">
        <v>19</v>
      </c>
      <c r="D347" s="36" t="s">
        <v>2092</v>
      </c>
      <c r="E347" s="32" t="s">
        <v>2339</v>
      </c>
      <c r="F347" s="5" t="s">
        <v>2340</v>
      </c>
      <c r="G347" s="5" t="s">
        <v>2341</v>
      </c>
      <c r="H347" s="19"/>
      <c r="I347" s="19" t="s">
        <v>2289</v>
      </c>
      <c r="J347" s="19" t="s">
        <v>2342</v>
      </c>
      <c r="K347" s="18" t="s">
        <v>27</v>
      </c>
      <c r="L347" s="18" t="s">
        <v>28</v>
      </c>
      <c r="M347" s="34">
        <v>46497.0</v>
      </c>
      <c r="N347" s="35">
        <v>46653.0</v>
      </c>
      <c r="O347" s="19" t="s">
        <v>2343</v>
      </c>
      <c r="P347" s="19" t="s">
        <v>2344</v>
      </c>
      <c r="Q347" s="12" t="str">
        <f t="shared" si="1"/>
        <v>https://ec.europa.eu/info/funding-tenders/opportunities/portal/screen/opportunities/topic-details/HORIZON-CL6-2027-02-FARM2FORK-03</v>
      </c>
    </row>
    <row r="348" ht="66.0" customHeight="1">
      <c r="A348" s="4" t="s">
        <v>17</v>
      </c>
      <c r="B348" s="4" t="s">
        <v>18</v>
      </c>
      <c r="C348" s="4" t="s">
        <v>19</v>
      </c>
      <c r="D348" s="36" t="s">
        <v>2092</v>
      </c>
      <c r="E348" s="32" t="s">
        <v>2345</v>
      </c>
      <c r="F348" s="5" t="s">
        <v>2346</v>
      </c>
      <c r="G348" s="5" t="s">
        <v>2347</v>
      </c>
      <c r="H348" s="19"/>
      <c r="I348" s="19" t="s">
        <v>2348</v>
      </c>
      <c r="J348" s="19" t="s">
        <v>2349</v>
      </c>
      <c r="K348" s="18" t="s">
        <v>39</v>
      </c>
      <c r="L348" s="18" t="s">
        <v>28</v>
      </c>
      <c r="M348" s="34">
        <v>46497.0</v>
      </c>
      <c r="N348" s="35">
        <v>46653.0</v>
      </c>
      <c r="O348" s="19" t="s">
        <v>2350</v>
      </c>
      <c r="P348" s="19" t="s">
        <v>2351</v>
      </c>
      <c r="Q348" s="12" t="str">
        <f t="shared" si="1"/>
        <v>https://ec.europa.eu/info/funding-tenders/opportunities/portal/screen/opportunities/topic-details/HORIZON-CL6-2027-02-FARM2FORK-04</v>
      </c>
    </row>
    <row r="349" ht="66.0" customHeight="1">
      <c r="A349" s="4" t="s">
        <v>17</v>
      </c>
      <c r="B349" s="4" t="s">
        <v>18</v>
      </c>
      <c r="C349" s="4" t="s">
        <v>19</v>
      </c>
      <c r="D349" s="36" t="s">
        <v>2092</v>
      </c>
      <c r="E349" s="32" t="s">
        <v>2352</v>
      </c>
      <c r="F349" s="5" t="s">
        <v>2353</v>
      </c>
      <c r="G349" s="5" t="s">
        <v>2354</v>
      </c>
      <c r="H349" s="19"/>
      <c r="I349" s="19" t="s">
        <v>2129</v>
      </c>
      <c r="J349" s="19" t="s">
        <v>2355</v>
      </c>
      <c r="K349" s="18" t="s">
        <v>239</v>
      </c>
      <c r="L349" s="18" t="s">
        <v>28</v>
      </c>
      <c r="M349" s="34">
        <v>46497.0</v>
      </c>
      <c r="N349" s="35">
        <v>46653.0</v>
      </c>
      <c r="O349" s="19" t="s">
        <v>2356</v>
      </c>
      <c r="P349" s="19" t="s">
        <v>2357</v>
      </c>
      <c r="Q349" s="12" t="str">
        <f t="shared" si="1"/>
        <v>https://ec.europa.eu/info/funding-tenders/opportunities/portal/screen/opportunities/topic-details/HORIZON-CL6-2027-02-FARM2FORK-05</v>
      </c>
    </row>
    <row r="350" ht="66.0" customHeight="1">
      <c r="A350" s="4" t="s">
        <v>17</v>
      </c>
      <c r="B350" s="4" t="s">
        <v>18</v>
      </c>
      <c r="C350" s="4" t="s">
        <v>19</v>
      </c>
      <c r="D350" s="36" t="s">
        <v>2092</v>
      </c>
      <c r="E350" s="32" t="s">
        <v>2358</v>
      </c>
      <c r="F350" s="5" t="s">
        <v>2359</v>
      </c>
      <c r="G350" s="5" t="s">
        <v>2360</v>
      </c>
      <c r="H350" s="19" t="s">
        <v>189</v>
      </c>
      <c r="I350" s="19" t="s">
        <v>2116</v>
      </c>
      <c r="J350" s="19" t="s">
        <v>2361</v>
      </c>
      <c r="K350" s="18" t="s">
        <v>239</v>
      </c>
      <c r="L350" s="18" t="s">
        <v>28</v>
      </c>
      <c r="M350" s="34">
        <v>46497.0</v>
      </c>
      <c r="N350" s="35">
        <v>46653.0</v>
      </c>
      <c r="O350" s="19" t="s">
        <v>2362</v>
      </c>
      <c r="P350" s="19" t="s">
        <v>2363</v>
      </c>
      <c r="Q350" s="12" t="str">
        <f t="shared" si="1"/>
        <v>https://ec.europa.eu/info/funding-tenders/opportunities/portal/screen/opportunities/topic-details/HORIZON-CL6-2027-02-FARM2FORK-06</v>
      </c>
    </row>
    <row r="351" ht="66.0" customHeight="1">
      <c r="A351" s="4" t="s">
        <v>17</v>
      </c>
      <c r="B351" s="4" t="s">
        <v>18</v>
      </c>
      <c r="C351" s="4" t="s">
        <v>19</v>
      </c>
      <c r="D351" s="36" t="s">
        <v>2092</v>
      </c>
      <c r="E351" s="32" t="s">
        <v>2364</v>
      </c>
      <c r="F351" s="5" t="s">
        <v>2365</v>
      </c>
      <c r="G351" s="5" t="s">
        <v>2366</v>
      </c>
      <c r="H351" s="19"/>
      <c r="I351" s="19" t="s">
        <v>251</v>
      </c>
      <c r="J351" s="19" t="s">
        <v>2367</v>
      </c>
      <c r="K351" s="18" t="s">
        <v>239</v>
      </c>
      <c r="L351" s="18" t="s">
        <v>28</v>
      </c>
      <c r="M351" s="34">
        <v>46497.0</v>
      </c>
      <c r="N351" s="35">
        <v>46653.0</v>
      </c>
      <c r="O351" s="19" t="s">
        <v>2368</v>
      </c>
      <c r="P351" s="19" t="s">
        <v>2369</v>
      </c>
      <c r="Q351" s="12" t="str">
        <f t="shared" si="1"/>
        <v>https://ec.europa.eu/info/funding-tenders/opportunities/portal/screen/opportunities/topic-details/HORIZON-CL6-2027-02-FARM2FORK-07</v>
      </c>
    </row>
    <row r="352" ht="66.0" customHeight="1">
      <c r="A352" s="4" t="s">
        <v>17</v>
      </c>
      <c r="B352" s="4" t="s">
        <v>18</v>
      </c>
      <c r="C352" s="4" t="s">
        <v>19</v>
      </c>
      <c r="D352" s="36" t="s">
        <v>2092</v>
      </c>
      <c r="E352" s="32" t="s">
        <v>2370</v>
      </c>
      <c r="F352" s="5" t="s">
        <v>2371</v>
      </c>
      <c r="G352" s="5" t="s">
        <v>2372</v>
      </c>
      <c r="H352" s="19"/>
      <c r="I352" s="19" t="s">
        <v>2373</v>
      </c>
      <c r="J352" s="19" t="s">
        <v>2374</v>
      </c>
      <c r="K352" s="18" t="s">
        <v>239</v>
      </c>
      <c r="L352" s="18" t="s">
        <v>28</v>
      </c>
      <c r="M352" s="34">
        <v>46497.0</v>
      </c>
      <c r="N352" s="35">
        <v>46653.0</v>
      </c>
      <c r="O352" s="19" t="s">
        <v>2375</v>
      </c>
      <c r="P352" s="19" t="s">
        <v>2376</v>
      </c>
      <c r="Q352" s="12" t="str">
        <f t="shared" si="1"/>
        <v>https://ec.europa.eu/info/funding-tenders/opportunities/portal/screen/opportunities/topic-details/HORIZON-CL6-2027-02-FARM2FORK-08</v>
      </c>
    </row>
    <row r="353" ht="66.0" customHeight="1">
      <c r="A353" s="4" t="s">
        <v>17</v>
      </c>
      <c r="B353" s="4" t="s">
        <v>18</v>
      </c>
      <c r="C353" s="4" t="s">
        <v>19</v>
      </c>
      <c r="D353" s="36" t="s">
        <v>2092</v>
      </c>
      <c r="E353" s="32" t="s">
        <v>2377</v>
      </c>
      <c r="F353" s="5" t="s">
        <v>2378</v>
      </c>
      <c r="G353" s="5" t="s">
        <v>2379</v>
      </c>
      <c r="H353" s="19"/>
      <c r="I353" s="19" t="s">
        <v>1556</v>
      </c>
      <c r="J353" s="19" t="s">
        <v>2380</v>
      </c>
      <c r="K353" s="18" t="s">
        <v>39</v>
      </c>
      <c r="L353" s="18" t="s">
        <v>28</v>
      </c>
      <c r="M353" s="34">
        <v>46497.0</v>
      </c>
      <c r="N353" s="35">
        <v>46653.0</v>
      </c>
      <c r="O353" s="19" t="s">
        <v>2381</v>
      </c>
      <c r="P353" s="19" t="s">
        <v>2382</v>
      </c>
      <c r="Q353" s="12" t="str">
        <f t="shared" si="1"/>
        <v>https://ec.europa.eu/info/funding-tenders/opportunities/portal/screen/opportunities/topic-details/HORIZON-CL6-2027-02-FARM2FORK-09</v>
      </c>
    </row>
    <row r="354" ht="66.0" customHeight="1">
      <c r="A354" s="4" t="s">
        <v>17</v>
      </c>
      <c r="B354" s="4" t="s">
        <v>18</v>
      </c>
      <c r="C354" s="4" t="s">
        <v>19</v>
      </c>
      <c r="D354" s="36" t="s">
        <v>2092</v>
      </c>
      <c r="E354" s="32" t="s">
        <v>2383</v>
      </c>
      <c r="F354" s="5" t="s">
        <v>2384</v>
      </c>
      <c r="G354" s="5" t="s">
        <v>2385</v>
      </c>
      <c r="H354" s="19"/>
      <c r="I354" s="19" t="s">
        <v>2129</v>
      </c>
      <c r="J354" s="19" t="s">
        <v>2386</v>
      </c>
      <c r="K354" s="18" t="s">
        <v>27</v>
      </c>
      <c r="L354" s="18" t="s">
        <v>157</v>
      </c>
      <c r="M354" s="34">
        <v>46422.0</v>
      </c>
      <c r="N354" s="35" t="s">
        <v>2387</v>
      </c>
      <c r="O354" s="19" t="s">
        <v>2388</v>
      </c>
      <c r="P354" s="19" t="s">
        <v>2389</v>
      </c>
      <c r="Q354" s="12" t="str">
        <f t="shared" si="1"/>
        <v>https://ec.europa.eu/info/funding-tenders/opportunities/portal/screen/opportunities/topic-details/HORIZON-CL6-2027-02-FARM2FORK-01-two-stage</v>
      </c>
    </row>
    <row r="355" ht="66.0" customHeight="1">
      <c r="A355" s="4" t="s">
        <v>17</v>
      </c>
      <c r="B355" s="4" t="s">
        <v>18</v>
      </c>
      <c r="C355" s="4" t="s">
        <v>19</v>
      </c>
      <c r="D355" s="36" t="s">
        <v>2092</v>
      </c>
      <c r="E355" s="32" t="s">
        <v>2390</v>
      </c>
      <c r="F355" s="5" t="s">
        <v>2391</v>
      </c>
      <c r="G355" s="5" t="s">
        <v>2392</v>
      </c>
      <c r="H355" s="19" t="s">
        <v>2393</v>
      </c>
      <c r="I355" s="19" t="s">
        <v>888</v>
      </c>
      <c r="J355" s="19" t="s">
        <v>2394</v>
      </c>
      <c r="K355" s="18" t="s">
        <v>27</v>
      </c>
      <c r="L355" s="18" t="s">
        <v>157</v>
      </c>
      <c r="M355" s="34">
        <v>46422.0</v>
      </c>
      <c r="N355" s="35" t="s">
        <v>2395</v>
      </c>
      <c r="O355" s="19" t="s">
        <v>2396</v>
      </c>
      <c r="P355" s="19" t="s">
        <v>2397</v>
      </c>
      <c r="Q355" s="12" t="str">
        <f t="shared" si="1"/>
        <v>https://ec.europa.eu/info/funding-tenders/opportunities/portal/screen/opportunities/topic-details/HORIZON-CL6-2027-02-FARM2FORK-02-two-stage</v>
      </c>
    </row>
    <row r="356" ht="66.0" customHeight="1">
      <c r="A356" s="4" t="s">
        <v>17</v>
      </c>
      <c r="B356" s="4" t="s">
        <v>18</v>
      </c>
      <c r="C356" s="4" t="s">
        <v>19</v>
      </c>
      <c r="D356" s="36" t="s">
        <v>2092</v>
      </c>
      <c r="E356" s="32" t="s">
        <v>2398</v>
      </c>
      <c r="F356" s="5" t="s">
        <v>2399</v>
      </c>
      <c r="G356" s="5" t="s">
        <v>2400</v>
      </c>
      <c r="H356" s="19"/>
      <c r="I356" s="19" t="s">
        <v>1073</v>
      </c>
      <c r="J356" s="19" t="s">
        <v>2401</v>
      </c>
      <c r="K356" s="18" t="s">
        <v>239</v>
      </c>
      <c r="L356" s="18" t="s">
        <v>28</v>
      </c>
      <c r="M356" s="34">
        <v>46129.0</v>
      </c>
      <c r="N356" s="35">
        <v>46282.0</v>
      </c>
      <c r="O356" s="19" t="s">
        <v>2402</v>
      </c>
      <c r="P356" s="19" t="s">
        <v>2403</v>
      </c>
      <c r="Q356" s="12" t="str">
        <f t="shared" si="1"/>
        <v>https://ec.europa.eu/info/funding-tenders/opportunities/portal/screen/opportunities/topic-details/HORIZON-CL6-2026-01-CIRCBIO-01</v>
      </c>
    </row>
    <row r="357" ht="66.0" customHeight="1">
      <c r="A357" s="4" t="s">
        <v>17</v>
      </c>
      <c r="B357" s="4" t="s">
        <v>18</v>
      </c>
      <c r="C357" s="4" t="s">
        <v>19</v>
      </c>
      <c r="D357" s="36" t="s">
        <v>2092</v>
      </c>
      <c r="E357" s="32" t="s">
        <v>2404</v>
      </c>
      <c r="F357" s="5" t="s">
        <v>2405</v>
      </c>
      <c r="G357" s="5" t="s">
        <v>2406</v>
      </c>
      <c r="H357" s="19"/>
      <c r="I357" s="19" t="s">
        <v>1073</v>
      </c>
      <c r="J357" s="19" t="s">
        <v>2407</v>
      </c>
      <c r="K357" s="18" t="s">
        <v>239</v>
      </c>
      <c r="L357" s="18" t="s">
        <v>28</v>
      </c>
      <c r="M357" s="34">
        <v>46129.0</v>
      </c>
      <c r="N357" s="35">
        <v>46282.0</v>
      </c>
      <c r="O357" s="19" t="s">
        <v>2408</v>
      </c>
      <c r="P357" s="19" t="s">
        <v>2409</v>
      </c>
      <c r="Q357" s="12" t="str">
        <f t="shared" si="1"/>
        <v>https://ec.europa.eu/info/funding-tenders/opportunities/portal/screen/opportunities/topic-details/HORIZON-CL6-2026-01-CIRCBIO-02</v>
      </c>
    </row>
    <row r="358" ht="66.0" customHeight="1">
      <c r="A358" s="4" t="s">
        <v>17</v>
      </c>
      <c r="B358" s="4" t="s">
        <v>18</v>
      </c>
      <c r="C358" s="4" t="s">
        <v>19</v>
      </c>
      <c r="D358" s="36" t="s">
        <v>2092</v>
      </c>
      <c r="E358" s="32" t="s">
        <v>2410</v>
      </c>
      <c r="F358" s="5" t="s">
        <v>2411</v>
      </c>
      <c r="G358" s="5" t="s">
        <v>2412</v>
      </c>
      <c r="H358" s="19"/>
      <c r="I358" s="19" t="s">
        <v>895</v>
      </c>
      <c r="J358" s="19" t="s">
        <v>2413</v>
      </c>
      <c r="K358" s="18" t="s">
        <v>27</v>
      </c>
      <c r="L358" s="18" t="s">
        <v>28</v>
      </c>
      <c r="M358" s="34">
        <v>46129.0</v>
      </c>
      <c r="N358" s="35">
        <v>46282.0</v>
      </c>
      <c r="O358" s="19" t="s">
        <v>2414</v>
      </c>
      <c r="P358" s="19" t="s">
        <v>2415</v>
      </c>
      <c r="Q358" s="12" t="str">
        <f t="shared" si="1"/>
        <v>https://ec.europa.eu/info/funding-tenders/opportunities/portal/screen/opportunities/topic-details/HORIZON-CL6-2026-01-CIRCBIO-03</v>
      </c>
    </row>
    <row r="359" ht="66.0" customHeight="1">
      <c r="A359" s="4" t="s">
        <v>17</v>
      </c>
      <c r="B359" s="4" t="s">
        <v>18</v>
      </c>
      <c r="C359" s="4" t="s">
        <v>19</v>
      </c>
      <c r="D359" s="36" t="s">
        <v>2092</v>
      </c>
      <c r="E359" s="32" t="s">
        <v>2416</v>
      </c>
      <c r="F359" s="5" t="s">
        <v>2417</v>
      </c>
      <c r="G359" s="5" t="s">
        <v>2418</v>
      </c>
      <c r="H359" s="19" t="s">
        <v>650</v>
      </c>
      <c r="I359" s="19" t="s">
        <v>614</v>
      </c>
      <c r="J359" s="19" t="s">
        <v>2419</v>
      </c>
      <c r="K359" s="18" t="s">
        <v>239</v>
      </c>
      <c r="L359" s="18" t="s">
        <v>28</v>
      </c>
      <c r="M359" s="34">
        <v>46129.0</v>
      </c>
      <c r="N359" s="35">
        <v>46282.0</v>
      </c>
      <c r="O359" s="19" t="s">
        <v>2420</v>
      </c>
      <c r="P359" s="19" t="s">
        <v>2421</v>
      </c>
      <c r="Q359" s="12" t="str">
        <f t="shared" si="1"/>
        <v>https://ec.europa.eu/info/funding-tenders/opportunities/portal/screen/opportunities/topic-details/HORIZON-CL6-2026-01-CIRCBIO-04</v>
      </c>
    </row>
    <row r="360" ht="66.0" customHeight="1">
      <c r="A360" s="4" t="s">
        <v>17</v>
      </c>
      <c r="B360" s="4" t="s">
        <v>18</v>
      </c>
      <c r="C360" s="4" t="s">
        <v>19</v>
      </c>
      <c r="D360" s="36" t="s">
        <v>2092</v>
      </c>
      <c r="E360" s="32" t="s">
        <v>2422</v>
      </c>
      <c r="F360" s="5" t="s">
        <v>2423</v>
      </c>
      <c r="G360" s="5" t="s">
        <v>2424</v>
      </c>
      <c r="H360" s="19"/>
      <c r="I360" s="19" t="s">
        <v>2348</v>
      </c>
      <c r="J360" s="19" t="s">
        <v>2425</v>
      </c>
      <c r="K360" s="18" t="s">
        <v>27</v>
      </c>
      <c r="L360" s="18" t="s">
        <v>28</v>
      </c>
      <c r="M360" s="34">
        <v>46129.0</v>
      </c>
      <c r="N360" s="35">
        <v>46282.0</v>
      </c>
      <c r="O360" s="19" t="s">
        <v>2426</v>
      </c>
      <c r="P360" s="19" t="s">
        <v>2427</v>
      </c>
      <c r="Q360" s="12" t="str">
        <f t="shared" si="1"/>
        <v>https://ec.europa.eu/info/funding-tenders/opportunities/portal/screen/opportunities/topic-details/HORIZON-CL6-2026-01-CIRCBIO-05</v>
      </c>
    </row>
    <row r="361" ht="66.0" customHeight="1">
      <c r="A361" s="4" t="s">
        <v>17</v>
      </c>
      <c r="B361" s="4" t="s">
        <v>18</v>
      </c>
      <c r="C361" s="4" t="s">
        <v>19</v>
      </c>
      <c r="D361" s="36" t="s">
        <v>2092</v>
      </c>
      <c r="E361" s="32" t="s">
        <v>2428</v>
      </c>
      <c r="F361" s="5" t="s">
        <v>2429</v>
      </c>
      <c r="G361" s="5" t="s">
        <v>2430</v>
      </c>
      <c r="H361" s="19"/>
      <c r="I361" s="19" t="s">
        <v>1556</v>
      </c>
      <c r="J361" s="19" t="s">
        <v>2431</v>
      </c>
      <c r="K361" s="18" t="s">
        <v>39</v>
      </c>
      <c r="L361" s="18" t="s">
        <v>28</v>
      </c>
      <c r="M361" s="34">
        <v>46129.0</v>
      </c>
      <c r="N361" s="35">
        <v>46282.0</v>
      </c>
      <c r="O361" s="19" t="s">
        <v>2432</v>
      </c>
      <c r="P361" s="19" t="s">
        <v>2433</v>
      </c>
      <c r="Q361" s="12" t="str">
        <f t="shared" si="1"/>
        <v>https://ec.europa.eu/info/funding-tenders/opportunities/portal/screen/opportunities/topic-details/HORIZON-CL6-2026-01-CIRCBIO-06</v>
      </c>
    </row>
    <row r="362" ht="66.0" customHeight="1">
      <c r="A362" s="4" t="s">
        <v>17</v>
      </c>
      <c r="B362" s="4" t="s">
        <v>18</v>
      </c>
      <c r="C362" s="4" t="s">
        <v>19</v>
      </c>
      <c r="D362" s="36" t="s">
        <v>2092</v>
      </c>
      <c r="E362" s="32" t="s">
        <v>2434</v>
      </c>
      <c r="F362" s="5" t="s">
        <v>2435</v>
      </c>
      <c r="G362" s="5" t="s">
        <v>2436</v>
      </c>
      <c r="H362" s="19" t="s">
        <v>46</v>
      </c>
      <c r="I362" s="19" t="s">
        <v>2218</v>
      </c>
      <c r="J362" s="19" t="s">
        <v>2437</v>
      </c>
      <c r="K362" s="18" t="s">
        <v>27</v>
      </c>
      <c r="L362" s="18" t="s">
        <v>28</v>
      </c>
      <c r="M362" s="34">
        <v>46129.0</v>
      </c>
      <c r="N362" s="35">
        <v>46282.0</v>
      </c>
      <c r="O362" s="19" t="s">
        <v>2438</v>
      </c>
      <c r="P362" s="19" t="s">
        <v>2439</v>
      </c>
      <c r="Q362" s="12" t="str">
        <f t="shared" si="1"/>
        <v>https://ec.europa.eu/info/funding-tenders/opportunities/portal/screen/opportunities/topic-details/HORIZON-CL6-2026-01-CIRCBIO-07</v>
      </c>
    </row>
    <row r="363" ht="66.0" customHeight="1">
      <c r="A363" s="4" t="s">
        <v>17</v>
      </c>
      <c r="B363" s="4" t="s">
        <v>18</v>
      </c>
      <c r="C363" s="4" t="s">
        <v>19</v>
      </c>
      <c r="D363" s="36" t="s">
        <v>2092</v>
      </c>
      <c r="E363" s="32" t="s">
        <v>2440</v>
      </c>
      <c r="F363" s="5" t="s">
        <v>2441</v>
      </c>
      <c r="G363" s="5" t="s">
        <v>2442</v>
      </c>
      <c r="H363" s="19" t="s">
        <v>46</v>
      </c>
      <c r="I363" s="19" t="s">
        <v>1660</v>
      </c>
      <c r="J363" s="19" t="s">
        <v>2443</v>
      </c>
      <c r="K363" s="18" t="s">
        <v>27</v>
      </c>
      <c r="L363" s="18" t="s">
        <v>28</v>
      </c>
      <c r="M363" s="34">
        <v>46129.0</v>
      </c>
      <c r="N363" s="35">
        <v>46282.0</v>
      </c>
      <c r="O363" s="19" t="s">
        <v>2444</v>
      </c>
      <c r="P363" s="19" t="s">
        <v>2445</v>
      </c>
      <c r="Q363" s="12" t="str">
        <f t="shared" si="1"/>
        <v>https://ec.europa.eu/info/funding-tenders/opportunities/portal/screen/opportunities/topic-details/HORIZON-CL6-2026-01-CIRCBIO-08</v>
      </c>
    </row>
    <row r="364" ht="66.0" customHeight="1">
      <c r="A364" s="4" t="s">
        <v>17</v>
      </c>
      <c r="B364" s="4" t="s">
        <v>18</v>
      </c>
      <c r="C364" s="4" t="s">
        <v>19</v>
      </c>
      <c r="D364" s="36" t="s">
        <v>2092</v>
      </c>
      <c r="E364" s="32" t="s">
        <v>2446</v>
      </c>
      <c r="F364" s="5" t="s">
        <v>2447</v>
      </c>
      <c r="G364" s="5" t="s">
        <v>2448</v>
      </c>
      <c r="H364" s="19" t="s">
        <v>650</v>
      </c>
      <c r="I364" s="19" t="s">
        <v>606</v>
      </c>
      <c r="J364" s="19" t="s">
        <v>2449</v>
      </c>
      <c r="K364" s="18" t="s">
        <v>27</v>
      </c>
      <c r="L364" s="18" t="s">
        <v>28</v>
      </c>
      <c r="M364" s="34">
        <v>46129.0</v>
      </c>
      <c r="N364" s="35">
        <v>46282.0</v>
      </c>
      <c r="O364" s="19" t="s">
        <v>2450</v>
      </c>
      <c r="P364" s="19" t="s">
        <v>2451</v>
      </c>
      <c r="Q364" s="12" t="str">
        <f t="shared" si="1"/>
        <v>https://ec.europa.eu/info/funding-tenders/opportunities/portal/screen/opportunities/topic-details/HORIZON-CL6-2026-01-CIRCBIO-09</v>
      </c>
    </row>
    <row r="365" ht="66.0" customHeight="1">
      <c r="A365" s="4" t="s">
        <v>17</v>
      </c>
      <c r="B365" s="4" t="s">
        <v>18</v>
      </c>
      <c r="C365" s="4" t="s">
        <v>19</v>
      </c>
      <c r="D365" s="36" t="s">
        <v>2092</v>
      </c>
      <c r="E365" s="32" t="s">
        <v>2452</v>
      </c>
      <c r="F365" s="5" t="s">
        <v>2453</v>
      </c>
      <c r="G365" s="5" t="s">
        <v>2454</v>
      </c>
      <c r="H365" s="19" t="s">
        <v>1667</v>
      </c>
      <c r="I365" s="19" t="s">
        <v>1523</v>
      </c>
      <c r="J365" s="19" t="s">
        <v>2455</v>
      </c>
      <c r="K365" s="18" t="s">
        <v>27</v>
      </c>
      <c r="L365" s="18" t="s">
        <v>28</v>
      </c>
      <c r="M365" s="34">
        <v>46129.0</v>
      </c>
      <c r="N365" s="35">
        <v>46282.0</v>
      </c>
      <c r="O365" s="19" t="s">
        <v>2456</v>
      </c>
      <c r="P365" s="19" t="s">
        <v>2457</v>
      </c>
      <c r="Q365" s="12" t="str">
        <f t="shared" si="1"/>
        <v>https://ec.europa.eu/info/funding-tenders/opportunities/portal/screen/opportunities/topic-details/HORIZON-CL6-2026-01-CIRCBIO-10</v>
      </c>
    </row>
    <row r="366" ht="66.0" customHeight="1">
      <c r="A366" s="4" t="s">
        <v>17</v>
      </c>
      <c r="B366" s="4" t="s">
        <v>18</v>
      </c>
      <c r="C366" s="4" t="s">
        <v>19</v>
      </c>
      <c r="D366" s="36" t="s">
        <v>2092</v>
      </c>
      <c r="E366" s="32" t="s">
        <v>2458</v>
      </c>
      <c r="F366" s="5" t="s">
        <v>2459</v>
      </c>
      <c r="G366" s="5" t="s">
        <v>2460</v>
      </c>
      <c r="H366" s="19"/>
      <c r="I366" s="19" t="s">
        <v>2461</v>
      </c>
      <c r="J366" s="19" t="s">
        <v>2462</v>
      </c>
      <c r="K366" s="18" t="s">
        <v>27</v>
      </c>
      <c r="L366" s="18" t="s">
        <v>28</v>
      </c>
      <c r="M366" s="34">
        <v>46129.0</v>
      </c>
      <c r="N366" s="35">
        <v>46282.0</v>
      </c>
      <c r="O366" s="19" t="s">
        <v>2463</v>
      </c>
      <c r="P366" s="19" t="s">
        <v>2464</v>
      </c>
      <c r="Q366" s="12" t="str">
        <f t="shared" si="1"/>
        <v>https://ec.europa.eu/info/funding-tenders/opportunities/portal/screen/opportunities/topic-details/HORIZON-CL6-2026-01-CIRCBIO-11</v>
      </c>
    </row>
    <row r="367" ht="66.0" customHeight="1">
      <c r="A367" s="4" t="s">
        <v>17</v>
      </c>
      <c r="B367" s="4" t="s">
        <v>18</v>
      </c>
      <c r="C367" s="4" t="s">
        <v>19</v>
      </c>
      <c r="D367" s="36" t="s">
        <v>2092</v>
      </c>
      <c r="E367" s="32" t="s">
        <v>2465</v>
      </c>
      <c r="F367" s="5" t="s">
        <v>2466</v>
      </c>
      <c r="G367" s="5" t="s">
        <v>2467</v>
      </c>
      <c r="H367" s="19" t="s">
        <v>2468</v>
      </c>
      <c r="I367" s="19" t="s">
        <v>614</v>
      </c>
      <c r="J367" s="19" t="s">
        <v>2469</v>
      </c>
      <c r="K367" s="18" t="s">
        <v>239</v>
      </c>
      <c r="L367" s="18" t="s">
        <v>157</v>
      </c>
      <c r="M367" s="34">
        <v>46065.0</v>
      </c>
      <c r="N367" s="35" t="s">
        <v>2137</v>
      </c>
      <c r="O367" s="19" t="s">
        <v>2470</v>
      </c>
      <c r="P367" s="19" t="s">
        <v>2471</v>
      </c>
      <c r="Q367" s="12" t="str">
        <f t="shared" si="1"/>
        <v>https://ec.europa.eu/info/funding-tenders/opportunities/portal/screen/opportunities/topic-details/HORIZON-CL6-2026-01-CIRCBIO-01-two-stage</v>
      </c>
    </row>
    <row r="368" ht="66.0" customHeight="1">
      <c r="A368" s="4" t="s">
        <v>17</v>
      </c>
      <c r="B368" s="4" t="s">
        <v>18</v>
      </c>
      <c r="C368" s="4" t="s">
        <v>19</v>
      </c>
      <c r="D368" s="36" t="s">
        <v>2092</v>
      </c>
      <c r="E368" s="32" t="s">
        <v>2472</v>
      </c>
      <c r="F368" s="5" t="s">
        <v>2473</v>
      </c>
      <c r="G368" s="5" t="s">
        <v>2474</v>
      </c>
      <c r="H368" s="19"/>
      <c r="I368" s="19" t="s">
        <v>833</v>
      </c>
      <c r="J368" s="19" t="s">
        <v>2475</v>
      </c>
      <c r="K368" s="18" t="s">
        <v>239</v>
      </c>
      <c r="L368" s="18" t="s">
        <v>157</v>
      </c>
      <c r="M368" s="34">
        <v>46065.0</v>
      </c>
      <c r="N368" s="35" t="s">
        <v>2137</v>
      </c>
      <c r="O368" s="19" t="s">
        <v>2476</v>
      </c>
      <c r="P368" s="19" t="s">
        <v>2477</v>
      </c>
      <c r="Q368" s="12" t="str">
        <f t="shared" si="1"/>
        <v>https://ec.europa.eu/info/funding-tenders/opportunities/portal/screen/opportunities/topic-details/HORIZON-CL6-2026-01-CIRCBIO-02-two-stage</v>
      </c>
    </row>
    <row r="369" ht="66.0" customHeight="1">
      <c r="A369" s="4" t="s">
        <v>17</v>
      </c>
      <c r="B369" s="4" t="s">
        <v>18</v>
      </c>
      <c r="C369" s="4" t="s">
        <v>19</v>
      </c>
      <c r="D369" s="36" t="s">
        <v>2092</v>
      </c>
      <c r="E369" s="32" t="s">
        <v>2478</v>
      </c>
      <c r="F369" s="5" t="s">
        <v>2479</v>
      </c>
      <c r="G369" s="5" t="s">
        <v>2480</v>
      </c>
      <c r="H369" s="19" t="s">
        <v>46</v>
      </c>
      <c r="I369" s="19" t="s">
        <v>895</v>
      </c>
      <c r="J369" s="19" t="s">
        <v>2481</v>
      </c>
      <c r="K369" s="18" t="s">
        <v>239</v>
      </c>
      <c r="L369" s="18" t="s">
        <v>28</v>
      </c>
      <c r="M369" s="34">
        <v>46497.0</v>
      </c>
      <c r="N369" s="35">
        <v>46652.0</v>
      </c>
      <c r="O369" s="19" t="s">
        <v>2482</v>
      </c>
      <c r="P369" s="19" t="s">
        <v>2483</v>
      </c>
      <c r="Q369" s="12" t="str">
        <f t="shared" si="1"/>
        <v>https://ec.europa.eu/info/funding-tenders/opportunities/portal/screen/opportunities/topic-details/HORIZON-CL6-2027-01-CIRCBIO-01</v>
      </c>
    </row>
    <row r="370" ht="66.0" customHeight="1">
      <c r="A370" s="4" t="s">
        <v>17</v>
      </c>
      <c r="B370" s="4" t="s">
        <v>18</v>
      </c>
      <c r="C370" s="4" t="s">
        <v>19</v>
      </c>
      <c r="D370" s="36" t="s">
        <v>2092</v>
      </c>
      <c r="E370" s="32" t="s">
        <v>2484</v>
      </c>
      <c r="F370" s="5" t="s">
        <v>2485</v>
      </c>
      <c r="G370" s="5" t="s">
        <v>2486</v>
      </c>
      <c r="H370" s="19"/>
      <c r="I370" s="19" t="s">
        <v>895</v>
      </c>
      <c r="J370" s="19" t="s">
        <v>2487</v>
      </c>
      <c r="K370" s="18" t="s">
        <v>239</v>
      </c>
      <c r="L370" s="18" t="s">
        <v>28</v>
      </c>
      <c r="M370" s="34">
        <v>46497.0</v>
      </c>
      <c r="N370" s="35">
        <v>46652.0</v>
      </c>
      <c r="O370" s="19" t="s">
        <v>2488</v>
      </c>
      <c r="P370" s="19" t="s">
        <v>2489</v>
      </c>
      <c r="Q370" s="12" t="str">
        <f t="shared" si="1"/>
        <v>https://ec.europa.eu/info/funding-tenders/opportunities/portal/screen/opportunities/topic-details/HORIZON-CL6-2027-01-CIRCBIO-02</v>
      </c>
    </row>
    <row r="371" ht="66.0" customHeight="1">
      <c r="A371" s="4" t="s">
        <v>17</v>
      </c>
      <c r="B371" s="4" t="s">
        <v>18</v>
      </c>
      <c r="C371" s="4" t="s">
        <v>19</v>
      </c>
      <c r="D371" s="36" t="s">
        <v>2092</v>
      </c>
      <c r="E371" s="32" t="s">
        <v>2490</v>
      </c>
      <c r="F371" s="5" t="s">
        <v>2491</v>
      </c>
      <c r="G371" s="5" t="s">
        <v>2492</v>
      </c>
      <c r="H371" s="19"/>
      <c r="I371" s="19" t="s">
        <v>2493</v>
      </c>
      <c r="J371" s="19" t="s">
        <v>2494</v>
      </c>
      <c r="K371" s="18" t="s">
        <v>27</v>
      </c>
      <c r="L371" s="18" t="s">
        <v>28</v>
      </c>
      <c r="M371" s="34">
        <v>46497.0</v>
      </c>
      <c r="N371" s="35">
        <v>46652.0</v>
      </c>
      <c r="O371" s="19" t="s">
        <v>2495</v>
      </c>
      <c r="P371" s="19" t="s">
        <v>2496</v>
      </c>
      <c r="Q371" s="12" t="str">
        <f t="shared" si="1"/>
        <v>https://ec.europa.eu/info/funding-tenders/opportunities/portal/screen/opportunities/topic-details/HORIZON-CL6-2027-01-CIRCBIO-03</v>
      </c>
    </row>
    <row r="372" ht="66.0" customHeight="1">
      <c r="A372" s="4" t="s">
        <v>17</v>
      </c>
      <c r="B372" s="4" t="s">
        <v>18</v>
      </c>
      <c r="C372" s="4" t="s">
        <v>19</v>
      </c>
      <c r="D372" s="36" t="s">
        <v>2092</v>
      </c>
      <c r="E372" s="32" t="s">
        <v>2497</v>
      </c>
      <c r="F372" s="5" t="s">
        <v>2498</v>
      </c>
      <c r="G372" s="5" t="s">
        <v>2499</v>
      </c>
      <c r="H372" s="19" t="s">
        <v>650</v>
      </c>
      <c r="I372" s="19" t="s">
        <v>533</v>
      </c>
      <c r="J372" s="19" t="s">
        <v>2500</v>
      </c>
      <c r="K372" s="18" t="s">
        <v>27</v>
      </c>
      <c r="L372" s="18" t="s">
        <v>28</v>
      </c>
      <c r="M372" s="34">
        <v>46497.0</v>
      </c>
      <c r="N372" s="35">
        <v>46652.0</v>
      </c>
      <c r="O372" s="19" t="s">
        <v>2501</v>
      </c>
      <c r="P372" s="19" t="s">
        <v>2502</v>
      </c>
      <c r="Q372" s="12" t="str">
        <f t="shared" si="1"/>
        <v>https://ec.europa.eu/info/funding-tenders/opportunities/portal/screen/opportunities/topic-details/HORIZON-CL6-2027-01-CIRCBIO-04</v>
      </c>
    </row>
    <row r="373" ht="66.0" customHeight="1">
      <c r="A373" s="4" t="s">
        <v>17</v>
      </c>
      <c r="B373" s="4" t="s">
        <v>18</v>
      </c>
      <c r="C373" s="4" t="s">
        <v>19</v>
      </c>
      <c r="D373" s="36" t="s">
        <v>2092</v>
      </c>
      <c r="E373" s="32" t="s">
        <v>2503</v>
      </c>
      <c r="F373" s="5" t="s">
        <v>2504</v>
      </c>
      <c r="G373" s="5" t="s">
        <v>2505</v>
      </c>
      <c r="H373" s="19" t="s">
        <v>650</v>
      </c>
      <c r="I373" s="19" t="s">
        <v>2506</v>
      </c>
      <c r="J373" s="19" t="s">
        <v>2507</v>
      </c>
      <c r="K373" s="18" t="s">
        <v>27</v>
      </c>
      <c r="L373" s="18" t="s">
        <v>28</v>
      </c>
      <c r="M373" s="34">
        <v>46497.0</v>
      </c>
      <c r="N373" s="35">
        <v>46652.0</v>
      </c>
      <c r="O373" s="19" t="s">
        <v>2508</v>
      </c>
      <c r="P373" s="19" t="s">
        <v>2509</v>
      </c>
      <c r="Q373" s="12" t="str">
        <f t="shared" si="1"/>
        <v>https://ec.europa.eu/info/funding-tenders/opportunities/portal/screen/opportunities/topic-details/HORIZON-CL6-2027-01-CIRCBIO-05</v>
      </c>
    </row>
    <row r="374" ht="66.0" customHeight="1">
      <c r="A374" s="4" t="s">
        <v>17</v>
      </c>
      <c r="B374" s="4" t="s">
        <v>18</v>
      </c>
      <c r="C374" s="4" t="s">
        <v>19</v>
      </c>
      <c r="D374" s="36" t="s">
        <v>2092</v>
      </c>
      <c r="E374" s="32" t="s">
        <v>2510</v>
      </c>
      <c r="F374" s="5" t="s">
        <v>2511</v>
      </c>
      <c r="G374" s="5" t="s">
        <v>2512</v>
      </c>
      <c r="H374" s="19"/>
      <c r="I374" s="19" t="s">
        <v>2169</v>
      </c>
      <c r="J374" s="19" t="s">
        <v>2513</v>
      </c>
      <c r="K374" s="18" t="s">
        <v>27</v>
      </c>
      <c r="L374" s="18" t="s">
        <v>28</v>
      </c>
      <c r="M374" s="34">
        <v>46497.0</v>
      </c>
      <c r="N374" s="35">
        <v>46652.0</v>
      </c>
      <c r="O374" s="19" t="s">
        <v>2514</v>
      </c>
      <c r="P374" s="19" t="s">
        <v>2515</v>
      </c>
      <c r="Q374" s="12" t="str">
        <f t="shared" si="1"/>
        <v>https://ec.europa.eu/info/funding-tenders/opportunities/portal/screen/opportunities/topic-details/HORIZON-CL6-2027-01-CIRCBIO-06</v>
      </c>
    </row>
    <row r="375" ht="66.0" customHeight="1">
      <c r="A375" s="4" t="s">
        <v>17</v>
      </c>
      <c r="B375" s="4" t="s">
        <v>18</v>
      </c>
      <c r="C375" s="4" t="s">
        <v>19</v>
      </c>
      <c r="D375" s="36" t="s">
        <v>2092</v>
      </c>
      <c r="E375" s="32" t="s">
        <v>2516</v>
      </c>
      <c r="F375" s="5" t="s">
        <v>2517</v>
      </c>
      <c r="G375" s="5" t="s">
        <v>2518</v>
      </c>
      <c r="H375" s="19"/>
      <c r="I375" s="19" t="s">
        <v>2348</v>
      </c>
      <c r="J375" s="19" t="s">
        <v>2519</v>
      </c>
      <c r="K375" s="18" t="s">
        <v>239</v>
      </c>
      <c r="L375" s="18" t="s">
        <v>28</v>
      </c>
      <c r="M375" s="34">
        <v>46497.0</v>
      </c>
      <c r="N375" s="35">
        <v>46652.0</v>
      </c>
      <c r="O375" s="19" t="s">
        <v>2520</v>
      </c>
      <c r="P375" s="19" t="s">
        <v>2521</v>
      </c>
      <c r="Q375" s="12" t="str">
        <f t="shared" si="1"/>
        <v>https://ec.europa.eu/info/funding-tenders/opportunities/portal/screen/opportunities/topic-details/HORIZON-CL6-2027-01-CIRCBIO-07</v>
      </c>
    </row>
    <row r="376" ht="66.0" customHeight="1">
      <c r="A376" s="4" t="s">
        <v>17</v>
      </c>
      <c r="B376" s="4" t="s">
        <v>18</v>
      </c>
      <c r="C376" s="4" t="s">
        <v>19</v>
      </c>
      <c r="D376" s="36" t="s">
        <v>2092</v>
      </c>
      <c r="E376" s="32" t="s">
        <v>2522</v>
      </c>
      <c r="F376" s="5" t="s">
        <v>2523</v>
      </c>
      <c r="G376" s="5" t="s">
        <v>2524</v>
      </c>
      <c r="H376" s="19"/>
      <c r="I376" s="19" t="s">
        <v>1668</v>
      </c>
      <c r="J376" s="19" t="s">
        <v>2525</v>
      </c>
      <c r="K376" s="18" t="s">
        <v>239</v>
      </c>
      <c r="L376" s="18" t="s">
        <v>28</v>
      </c>
      <c r="M376" s="34">
        <v>46497.0</v>
      </c>
      <c r="N376" s="35">
        <v>46652.0</v>
      </c>
      <c r="O376" s="19" t="s">
        <v>2526</v>
      </c>
      <c r="P376" s="19" t="s">
        <v>2527</v>
      </c>
      <c r="Q376" s="12" t="str">
        <f t="shared" si="1"/>
        <v>https://ec.europa.eu/info/funding-tenders/opportunities/portal/screen/opportunities/topic-details/HORIZON-CL6-2027-01-CIRCBIO-08</v>
      </c>
    </row>
    <row r="377" ht="66.0" customHeight="1">
      <c r="A377" s="4" t="s">
        <v>17</v>
      </c>
      <c r="B377" s="4" t="s">
        <v>18</v>
      </c>
      <c r="C377" s="4" t="s">
        <v>19</v>
      </c>
      <c r="D377" s="36" t="s">
        <v>2092</v>
      </c>
      <c r="E377" s="32" t="s">
        <v>2528</v>
      </c>
      <c r="F377" s="5" t="s">
        <v>2529</v>
      </c>
      <c r="G377" s="5" t="s">
        <v>2530</v>
      </c>
      <c r="H377" s="19" t="s">
        <v>2531</v>
      </c>
      <c r="I377" s="19" t="s">
        <v>2532</v>
      </c>
      <c r="J377" s="19" t="s">
        <v>2533</v>
      </c>
      <c r="K377" s="18" t="s">
        <v>239</v>
      </c>
      <c r="L377" s="18" t="s">
        <v>28</v>
      </c>
      <c r="M377" s="34">
        <v>46497.0</v>
      </c>
      <c r="N377" s="35">
        <v>46652.0</v>
      </c>
      <c r="O377" s="19" t="s">
        <v>2534</v>
      </c>
      <c r="P377" s="19" t="s">
        <v>2535</v>
      </c>
      <c r="Q377" s="12" t="str">
        <f t="shared" si="1"/>
        <v>https://ec.europa.eu/info/funding-tenders/opportunities/portal/screen/opportunities/topic-details/HORIZON-CL6-2027-01-CIRCBIO-09</v>
      </c>
    </row>
    <row r="378" ht="66.0" customHeight="1">
      <c r="A378" s="4" t="s">
        <v>17</v>
      </c>
      <c r="B378" s="4" t="s">
        <v>18</v>
      </c>
      <c r="C378" s="4" t="s">
        <v>19</v>
      </c>
      <c r="D378" s="36" t="s">
        <v>2092</v>
      </c>
      <c r="E378" s="32" t="s">
        <v>2536</v>
      </c>
      <c r="F378" s="5" t="s">
        <v>2537</v>
      </c>
      <c r="G378" s="5" t="s">
        <v>2538</v>
      </c>
      <c r="H378" s="19"/>
      <c r="I378" s="19" t="s">
        <v>1571</v>
      </c>
      <c r="J378" s="19" t="s">
        <v>2539</v>
      </c>
      <c r="K378" s="18" t="s">
        <v>27</v>
      </c>
      <c r="L378" s="18" t="s">
        <v>28</v>
      </c>
      <c r="M378" s="34">
        <v>46497.0</v>
      </c>
      <c r="N378" s="35">
        <v>46652.0</v>
      </c>
      <c r="O378" s="19" t="s">
        <v>2540</v>
      </c>
      <c r="P378" s="19" t="s">
        <v>2541</v>
      </c>
      <c r="Q378" s="12" t="str">
        <f t="shared" si="1"/>
        <v>https://ec.europa.eu/info/funding-tenders/opportunities/portal/screen/opportunities/topic-details/HORIZON-CL6-2027-01-CIRCBIO-10</v>
      </c>
    </row>
    <row r="379" ht="66.0" customHeight="1">
      <c r="A379" s="4" t="s">
        <v>17</v>
      </c>
      <c r="B379" s="4" t="s">
        <v>18</v>
      </c>
      <c r="C379" s="4" t="s">
        <v>19</v>
      </c>
      <c r="D379" s="36" t="s">
        <v>2092</v>
      </c>
      <c r="E379" s="32" t="s">
        <v>2542</v>
      </c>
      <c r="F379" s="5" t="s">
        <v>2466</v>
      </c>
      <c r="G379" s="5" t="s">
        <v>2543</v>
      </c>
      <c r="H379" s="19" t="s">
        <v>2468</v>
      </c>
      <c r="I379" s="19" t="s">
        <v>614</v>
      </c>
      <c r="J379" s="19" t="s">
        <v>2544</v>
      </c>
      <c r="K379" s="18" t="s">
        <v>239</v>
      </c>
      <c r="L379" s="18" t="s">
        <v>157</v>
      </c>
      <c r="M379" s="34">
        <v>46422.0</v>
      </c>
      <c r="N379" s="35" t="s">
        <v>2545</v>
      </c>
      <c r="O379" s="19" t="s">
        <v>2546</v>
      </c>
      <c r="P379" s="19" t="s">
        <v>2547</v>
      </c>
      <c r="Q379" s="12" t="str">
        <f t="shared" si="1"/>
        <v>https://ec.europa.eu/info/funding-tenders/opportunities/portal/screen/opportunities/topic-details/HORIZON-CL6-2027-01-CIRCBIO-01-two-stage</v>
      </c>
    </row>
    <row r="380" ht="66.0" customHeight="1">
      <c r="A380" s="4" t="s">
        <v>17</v>
      </c>
      <c r="B380" s="4" t="s">
        <v>18</v>
      </c>
      <c r="C380" s="4" t="s">
        <v>19</v>
      </c>
      <c r="D380" s="36" t="s">
        <v>2092</v>
      </c>
      <c r="E380" s="32" t="s">
        <v>2548</v>
      </c>
      <c r="F380" s="5" t="s">
        <v>2473</v>
      </c>
      <c r="G380" s="5" t="s">
        <v>2549</v>
      </c>
      <c r="H380" s="19"/>
      <c r="I380" s="19" t="s">
        <v>833</v>
      </c>
      <c r="J380" s="19" t="s">
        <v>2550</v>
      </c>
      <c r="K380" s="18" t="s">
        <v>239</v>
      </c>
      <c r="L380" s="18" t="s">
        <v>157</v>
      </c>
      <c r="M380" s="34">
        <v>46422.0</v>
      </c>
      <c r="N380" s="35" t="s">
        <v>2545</v>
      </c>
      <c r="O380" s="19" t="s">
        <v>2551</v>
      </c>
      <c r="P380" s="19" t="s">
        <v>2552</v>
      </c>
      <c r="Q380" s="12" t="str">
        <f t="shared" si="1"/>
        <v>https://ec.europa.eu/info/funding-tenders/opportunities/portal/screen/opportunities/topic-details/HORIZON-CL6-2027-01-CIRCBIO-02-two-stage</v>
      </c>
    </row>
    <row r="381" ht="66.0" customHeight="1">
      <c r="A381" s="4" t="s">
        <v>17</v>
      </c>
      <c r="B381" s="4" t="s">
        <v>18</v>
      </c>
      <c r="C381" s="4" t="s">
        <v>19</v>
      </c>
      <c r="D381" s="36" t="s">
        <v>2092</v>
      </c>
      <c r="E381" s="32" t="s">
        <v>2553</v>
      </c>
      <c r="F381" s="5" t="s">
        <v>2554</v>
      </c>
      <c r="G381" s="5" t="s">
        <v>2555</v>
      </c>
      <c r="H381" s="19"/>
      <c r="I381" s="19" t="s">
        <v>2109</v>
      </c>
      <c r="J381" s="19" t="s">
        <v>2556</v>
      </c>
      <c r="K381" s="18" t="s">
        <v>27</v>
      </c>
      <c r="L381" s="18" t="s">
        <v>28</v>
      </c>
      <c r="M381" s="34">
        <v>46129.0</v>
      </c>
      <c r="N381" s="35">
        <v>46282.0</v>
      </c>
      <c r="O381" s="19" t="s">
        <v>2557</v>
      </c>
      <c r="P381" s="19" t="s">
        <v>2558</v>
      </c>
      <c r="Q381" s="12" t="str">
        <f t="shared" si="1"/>
        <v>https://ec.europa.eu/info/funding-tenders/opportunities/portal/screen/opportunities/topic-details/HORIZON-CL6-2026-01-ZEROPOLLUTION-01</v>
      </c>
    </row>
    <row r="382" ht="66.0" customHeight="1">
      <c r="A382" s="4" t="s">
        <v>17</v>
      </c>
      <c r="B382" s="4" t="s">
        <v>18</v>
      </c>
      <c r="C382" s="4" t="s">
        <v>19</v>
      </c>
      <c r="D382" s="36" t="s">
        <v>2092</v>
      </c>
      <c r="E382" s="32" t="s">
        <v>2559</v>
      </c>
      <c r="F382" s="5" t="s">
        <v>2560</v>
      </c>
      <c r="G382" s="5" t="s">
        <v>2561</v>
      </c>
      <c r="H382" s="19" t="s">
        <v>2562</v>
      </c>
      <c r="I382" s="19" t="s">
        <v>1668</v>
      </c>
      <c r="J382" s="19" t="s">
        <v>2563</v>
      </c>
      <c r="K382" s="18" t="s">
        <v>239</v>
      </c>
      <c r="L382" s="18" t="s">
        <v>28</v>
      </c>
      <c r="M382" s="34">
        <v>46129.0</v>
      </c>
      <c r="N382" s="35">
        <v>46282.0</v>
      </c>
      <c r="O382" s="19" t="s">
        <v>2564</v>
      </c>
      <c r="P382" s="19" t="s">
        <v>2565</v>
      </c>
      <c r="Q382" s="12" t="str">
        <f t="shared" si="1"/>
        <v>https://ec.europa.eu/info/funding-tenders/opportunities/portal/screen/opportunities/topic-details/HORIZON-CL6-2026-01-ZEROPOLLUTION-02</v>
      </c>
    </row>
    <row r="383" ht="66.0" customHeight="1">
      <c r="A383" s="4" t="s">
        <v>17</v>
      </c>
      <c r="B383" s="4" t="s">
        <v>18</v>
      </c>
      <c r="C383" s="4" t="s">
        <v>19</v>
      </c>
      <c r="D383" s="36" t="s">
        <v>2092</v>
      </c>
      <c r="E383" s="32" t="s">
        <v>2566</v>
      </c>
      <c r="F383" s="5" t="s">
        <v>2567</v>
      </c>
      <c r="G383" s="5" t="s">
        <v>2568</v>
      </c>
      <c r="H383" s="19"/>
      <c r="I383" s="19" t="s">
        <v>840</v>
      </c>
      <c r="J383" s="19" t="s">
        <v>2569</v>
      </c>
      <c r="K383" s="18" t="s">
        <v>27</v>
      </c>
      <c r="L383" s="18" t="s">
        <v>28</v>
      </c>
      <c r="M383" s="34">
        <v>46129.0</v>
      </c>
      <c r="N383" s="35">
        <v>46282.0</v>
      </c>
      <c r="O383" s="19" t="s">
        <v>2570</v>
      </c>
      <c r="P383" s="19" t="s">
        <v>2571</v>
      </c>
      <c r="Q383" s="12" t="str">
        <f t="shared" si="1"/>
        <v>https://ec.europa.eu/info/funding-tenders/opportunities/portal/screen/opportunities/topic-details/HORIZON-CL6-2026-01-ZEROPOLLUTION-03</v>
      </c>
    </row>
    <row r="384" ht="66.0" customHeight="1">
      <c r="A384" s="4" t="s">
        <v>17</v>
      </c>
      <c r="B384" s="4" t="s">
        <v>18</v>
      </c>
      <c r="C384" s="4" t="s">
        <v>19</v>
      </c>
      <c r="D384" s="36" t="s">
        <v>2092</v>
      </c>
      <c r="E384" s="32" t="s">
        <v>2572</v>
      </c>
      <c r="F384" s="5" t="s">
        <v>2573</v>
      </c>
      <c r="G384" s="5" t="s">
        <v>2574</v>
      </c>
      <c r="H384" s="19"/>
      <c r="I384" s="19" t="s">
        <v>1668</v>
      </c>
      <c r="J384" s="19" t="s">
        <v>2575</v>
      </c>
      <c r="K384" s="18" t="s">
        <v>27</v>
      </c>
      <c r="L384" s="18" t="s">
        <v>157</v>
      </c>
      <c r="M384" s="34">
        <v>46065.0</v>
      </c>
      <c r="N384" s="35" t="s">
        <v>2137</v>
      </c>
      <c r="O384" s="19" t="s">
        <v>2576</v>
      </c>
      <c r="P384" s="19" t="s">
        <v>2577</v>
      </c>
      <c r="Q384" s="12" t="str">
        <f t="shared" si="1"/>
        <v>https://ec.europa.eu/info/funding-tenders/opportunities/portal/screen/opportunities/topic-details/HORIZON-CL6-2026-01-ZEROPOLLUTION-01-two-stage</v>
      </c>
    </row>
    <row r="385" ht="66.0" customHeight="1">
      <c r="A385" s="4" t="s">
        <v>17</v>
      </c>
      <c r="B385" s="4" t="s">
        <v>18</v>
      </c>
      <c r="C385" s="4" t="s">
        <v>19</v>
      </c>
      <c r="D385" s="36" t="s">
        <v>2092</v>
      </c>
      <c r="E385" s="32" t="s">
        <v>2578</v>
      </c>
      <c r="F385" s="5" t="s">
        <v>2579</v>
      </c>
      <c r="G385" s="5" t="s">
        <v>2580</v>
      </c>
      <c r="H385" s="19" t="s">
        <v>2562</v>
      </c>
      <c r="I385" s="19" t="s">
        <v>2581</v>
      </c>
      <c r="J385" s="19" t="s">
        <v>2582</v>
      </c>
      <c r="K385" s="18" t="s">
        <v>27</v>
      </c>
      <c r="L385" s="18" t="s">
        <v>28</v>
      </c>
      <c r="M385" s="34">
        <v>46497.0</v>
      </c>
      <c r="N385" s="35">
        <v>46652.0</v>
      </c>
      <c r="O385" s="19" t="s">
        <v>2583</v>
      </c>
      <c r="P385" s="19" t="s">
        <v>2584</v>
      </c>
      <c r="Q385" s="12" t="str">
        <f t="shared" si="1"/>
        <v>https://ec.europa.eu/info/funding-tenders/opportunities/portal/screen/opportunities/topic-details/HORIZON-CL6-2027-01-ZEROPOLLUTION-01</v>
      </c>
    </row>
    <row r="386" ht="66.0" customHeight="1">
      <c r="A386" s="4" t="s">
        <v>17</v>
      </c>
      <c r="B386" s="4" t="s">
        <v>18</v>
      </c>
      <c r="C386" s="4" t="s">
        <v>19</v>
      </c>
      <c r="D386" s="36" t="s">
        <v>2092</v>
      </c>
      <c r="E386" s="32" t="s">
        <v>2585</v>
      </c>
      <c r="F386" s="5" t="s">
        <v>2586</v>
      </c>
      <c r="G386" s="5" t="s">
        <v>2587</v>
      </c>
      <c r="H386" s="19" t="s">
        <v>2562</v>
      </c>
      <c r="I386" s="19" t="s">
        <v>81</v>
      </c>
      <c r="J386" s="19" t="s">
        <v>2588</v>
      </c>
      <c r="K386" s="18" t="s">
        <v>27</v>
      </c>
      <c r="L386" s="18" t="s">
        <v>28</v>
      </c>
      <c r="M386" s="34">
        <v>46497.0</v>
      </c>
      <c r="N386" s="35">
        <v>46652.0</v>
      </c>
      <c r="O386" s="19" t="s">
        <v>2589</v>
      </c>
      <c r="P386" s="19" t="s">
        <v>2590</v>
      </c>
      <c r="Q386" s="12" t="str">
        <f t="shared" si="1"/>
        <v>https://ec.europa.eu/info/funding-tenders/opportunities/portal/screen/opportunities/topic-details/HORIZON-CL6-2027-01-ZEROPOLLUTION-02</v>
      </c>
    </row>
    <row r="387" ht="66.0" customHeight="1">
      <c r="A387" s="4" t="s">
        <v>17</v>
      </c>
      <c r="B387" s="4" t="s">
        <v>18</v>
      </c>
      <c r="C387" s="4" t="s">
        <v>19</v>
      </c>
      <c r="D387" s="36" t="s">
        <v>2092</v>
      </c>
      <c r="E387" s="32" t="s">
        <v>2591</v>
      </c>
      <c r="F387" s="5" t="s">
        <v>2592</v>
      </c>
      <c r="G387" s="5" t="s">
        <v>2593</v>
      </c>
      <c r="H387" s="19"/>
      <c r="I387" s="19" t="s">
        <v>2329</v>
      </c>
      <c r="J387" s="19" t="s">
        <v>2594</v>
      </c>
      <c r="K387" s="18" t="s">
        <v>27</v>
      </c>
      <c r="L387" s="18" t="s">
        <v>28</v>
      </c>
      <c r="M387" s="34">
        <v>46497.0</v>
      </c>
      <c r="N387" s="35">
        <v>46652.0</v>
      </c>
      <c r="O387" s="19" t="s">
        <v>2595</v>
      </c>
      <c r="P387" s="19" t="s">
        <v>2596</v>
      </c>
      <c r="Q387" s="12" t="str">
        <f t="shared" si="1"/>
        <v>https://ec.europa.eu/info/funding-tenders/opportunities/portal/screen/opportunities/topic-details/HORIZON-CL6-2027-01-ZEROPOLLUTION-03</v>
      </c>
    </row>
    <row r="388" ht="66.0" customHeight="1">
      <c r="A388" s="4" t="s">
        <v>17</v>
      </c>
      <c r="B388" s="4" t="s">
        <v>18</v>
      </c>
      <c r="C388" s="4" t="s">
        <v>19</v>
      </c>
      <c r="D388" s="36" t="s">
        <v>2092</v>
      </c>
      <c r="E388" s="32" t="s">
        <v>2597</v>
      </c>
      <c r="F388" s="5" t="s">
        <v>2598</v>
      </c>
      <c r="G388" s="5" t="s">
        <v>2599</v>
      </c>
      <c r="H388" s="19"/>
      <c r="I388" s="19" t="s">
        <v>2348</v>
      </c>
      <c r="J388" s="19" t="s">
        <v>2600</v>
      </c>
      <c r="K388" s="18" t="s">
        <v>39</v>
      </c>
      <c r="L388" s="18" t="s">
        <v>28</v>
      </c>
      <c r="M388" s="34">
        <v>46497.0</v>
      </c>
      <c r="N388" s="35">
        <v>46652.0</v>
      </c>
      <c r="O388" s="19" t="s">
        <v>2601</v>
      </c>
      <c r="P388" s="19" t="s">
        <v>2602</v>
      </c>
      <c r="Q388" s="12" t="str">
        <f t="shared" si="1"/>
        <v>https://ec.europa.eu/info/funding-tenders/opportunities/portal/screen/opportunities/topic-details/HORIZON-CL6-2027-01-ZEROPOLLUTION-04</v>
      </c>
    </row>
    <row r="389" ht="66.0" customHeight="1">
      <c r="A389" s="4" t="s">
        <v>17</v>
      </c>
      <c r="B389" s="4" t="s">
        <v>18</v>
      </c>
      <c r="C389" s="4" t="s">
        <v>19</v>
      </c>
      <c r="D389" s="36" t="s">
        <v>2092</v>
      </c>
      <c r="E389" s="32" t="s">
        <v>2603</v>
      </c>
      <c r="F389" s="5" t="s">
        <v>2604</v>
      </c>
      <c r="G389" s="5" t="s">
        <v>2605</v>
      </c>
      <c r="H389" s="19" t="s">
        <v>2606</v>
      </c>
      <c r="I389" s="19" t="s">
        <v>888</v>
      </c>
      <c r="J389" s="19" t="s">
        <v>2607</v>
      </c>
      <c r="K389" s="18" t="s">
        <v>27</v>
      </c>
      <c r="L389" s="18" t="s">
        <v>28</v>
      </c>
      <c r="M389" s="34">
        <v>46036.0</v>
      </c>
      <c r="N389" s="35">
        <v>46126.0</v>
      </c>
      <c r="O389" s="19" t="s">
        <v>2608</v>
      </c>
      <c r="P389" s="19" t="s">
        <v>2609</v>
      </c>
      <c r="Q389" s="12" t="str">
        <f t="shared" si="1"/>
        <v>https://ec.europa.eu/info/funding-tenders/opportunities/portal/screen/opportunities/topic-details/HORIZON-CL6-2026-02-CLIMATE-01</v>
      </c>
    </row>
    <row r="390" ht="66.0" customHeight="1">
      <c r="A390" s="4" t="s">
        <v>17</v>
      </c>
      <c r="B390" s="4" t="s">
        <v>18</v>
      </c>
      <c r="C390" s="4" t="s">
        <v>19</v>
      </c>
      <c r="D390" s="36" t="s">
        <v>2092</v>
      </c>
      <c r="E390" s="32" t="s">
        <v>2610</v>
      </c>
      <c r="F390" s="5" t="s">
        <v>2611</v>
      </c>
      <c r="G390" s="5" t="s">
        <v>2612</v>
      </c>
      <c r="H390" s="19"/>
      <c r="I390" s="19" t="s">
        <v>840</v>
      </c>
      <c r="J390" s="19" t="s">
        <v>2613</v>
      </c>
      <c r="K390" s="18" t="s">
        <v>27</v>
      </c>
      <c r="L390" s="18" t="s">
        <v>28</v>
      </c>
      <c r="M390" s="34">
        <v>46036.0</v>
      </c>
      <c r="N390" s="35">
        <v>46126.0</v>
      </c>
      <c r="O390" s="19" t="s">
        <v>2614</v>
      </c>
      <c r="P390" s="19" t="s">
        <v>2615</v>
      </c>
      <c r="Q390" s="12" t="str">
        <f t="shared" si="1"/>
        <v>https://ec.europa.eu/info/funding-tenders/opportunities/portal/screen/opportunities/topic-details/HORIZON-CL6-2026-02-CLIMATE-02</v>
      </c>
    </row>
    <row r="391" ht="66.0" customHeight="1">
      <c r="A391" s="4" t="s">
        <v>17</v>
      </c>
      <c r="B391" s="4" t="s">
        <v>18</v>
      </c>
      <c r="C391" s="4" t="s">
        <v>19</v>
      </c>
      <c r="D391" s="36" t="s">
        <v>2092</v>
      </c>
      <c r="E391" s="32" t="s">
        <v>2616</v>
      </c>
      <c r="F391" s="5" t="s">
        <v>2617</v>
      </c>
      <c r="G391" s="5" t="s">
        <v>2618</v>
      </c>
      <c r="H391" s="19" t="s">
        <v>2619</v>
      </c>
      <c r="I391" s="19" t="s">
        <v>709</v>
      </c>
      <c r="J391" s="19" t="s">
        <v>2620</v>
      </c>
      <c r="K391" s="18" t="s">
        <v>27</v>
      </c>
      <c r="L391" s="18" t="s">
        <v>28</v>
      </c>
      <c r="M391" s="34">
        <v>46497.0</v>
      </c>
      <c r="N391" s="35">
        <v>46653.0</v>
      </c>
      <c r="O391" s="19" t="s">
        <v>2621</v>
      </c>
      <c r="P391" s="19" t="s">
        <v>2622</v>
      </c>
      <c r="Q391" s="12" t="str">
        <f t="shared" si="1"/>
        <v>https://ec.europa.eu/info/funding-tenders/opportunities/portal/screen/opportunities/topic-details/HORIZON-CL6-2027-02-CLIMATE-01</v>
      </c>
    </row>
    <row r="392" ht="66.0" customHeight="1">
      <c r="A392" s="4" t="s">
        <v>17</v>
      </c>
      <c r="B392" s="4" t="s">
        <v>18</v>
      </c>
      <c r="C392" s="4" t="s">
        <v>19</v>
      </c>
      <c r="D392" s="36" t="s">
        <v>2092</v>
      </c>
      <c r="E392" s="32" t="s">
        <v>2623</v>
      </c>
      <c r="F392" s="5" t="s">
        <v>2624</v>
      </c>
      <c r="G392" s="5" t="s">
        <v>2625</v>
      </c>
      <c r="H392" s="19" t="s">
        <v>1667</v>
      </c>
      <c r="I392" s="19" t="s">
        <v>1571</v>
      </c>
      <c r="J392" s="19" t="s">
        <v>2626</v>
      </c>
      <c r="K392" s="18" t="s">
        <v>27</v>
      </c>
      <c r="L392" s="18" t="s">
        <v>28</v>
      </c>
      <c r="M392" s="34">
        <v>46497.0</v>
      </c>
      <c r="N392" s="35">
        <v>46653.0</v>
      </c>
      <c r="O392" s="19" t="s">
        <v>2627</v>
      </c>
      <c r="P392" s="19" t="s">
        <v>2628</v>
      </c>
      <c r="Q392" s="12" t="str">
        <f t="shared" si="1"/>
        <v>https://ec.europa.eu/info/funding-tenders/opportunities/portal/screen/opportunities/topic-details/HORIZON-CL6-2027-02-CLIMATE-02</v>
      </c>
    </row>
    <row r="393" ht="66.0" customHeight="1">
      <c r="A393" s="4" t="s">
        <v>17</v>
      </c>
      <c r="B393" s="4" t="s">
        <v>18</v>
      </c>
      <c r="C393" s="4" t="s">
        <v>19</v>
      </c>
      <c r="D393" s="36" t="s">
        <v>2092</v>
      </c>
      <c r="E393" s="32" t="s">
        <v>2629</v>
      </c>
      <c r="F393" s="5" t="s">
        <v>2630</v>
      </c>
      <c r="G393" s="5" t="s">
        <v>2631</v>
      </c>
      <c r="H393" s="19"/>
      <c r="I393" s="19" t="s">
        <v>888</v>
      </c>
      <c r="J393" s="19" t="s">
        <v>2632</v>
      </c>
      <c r="K393" s="18" t="s">
        <v>27</v>
      </c>
      <c r="L393" s="18" t="s">
        <v>28</v>
      </c>
      <c r="M393" s="34">
        <v>46497.0</v>
      </c>
      <c r="N393" s="35">
        <v>46653.0</v>
      </c>
      <c r="O393" s="19" t="s">
        <v>2633</v>
      </c>
      <c r="P393" s="19" t="s">
        <v>2634</v>
      </c>
      <c r="Q393" s="12" t="str">
        <f t="shared" si="1"/>
        <v>https://ec.europa.eu/info/funding-tenders/opportunities/portal/screen/opportunities/topic-details/HORIZON-CL6-2027-02-CLIMATE-03</v>
      </c>
    </row>
    <row r="394" ht="66.0" customHeight="1">
      <c r="A394" s="4" t="s">
        <v>17</v>
      </c>
      <c r="B394" s="4" t="s">
        <v>18</v>
      </c>
      <c r="C394" s="4" t="s">
        <v>19</v>
      </c>
      <c r="D394" s="36" t="s">
        <v>2092</v>
      </c>
      <c r="E394" s="32" t="s">
        <v>2635</v>
      </c>
      <c r="F394" s="5" t="s">
        <v>2636</v>
      </c>
      <c r="G394" s="5" t="s">
        <v>2637</v>
      </c>
      <c r="H394" s="19"/>
      <c r="I394" s="19" t="s">
        <v>2109</v>
      </c>
      <c r="J394" s="19" t="s">
        <v>2638</v>
      </c>
      <c r="K394" s="18" t="s">
        <v>27</v>
      </c>
      <c r="L394" s="18" t="s">
        <v>28</v>
      </c>
      <c r="M394" s="34">
        <v>46497.0</v>
      </c>
      <c r="N394" s="35">
        <v>46653.0</v>
      </c>
      <c r="O394" s="19" t="s">
        <v>2639</v>
      </c>
      <c r="P394" s="19" t="s">
        <v>2640</v>
      </c>
      <c r="Q394" s="12" t="str">
        <f t="shared" si="1"/>
        <v>https://ec.europa.eu/info/funding-tenders/opportunities/portal/screen/opportunities/topic-details/HORIZON-CL6-2027-02-CLIMATE-04</v>
      </c>
    </row>
    <row r="395" ht="66.0" customHeight="1">
      <c r="A395" s="4" t="s">
        <v>17</v>
      </c>
      <c r="B395" s="4" t="s">
        <v>18</v>
      </c>
      <c r="C395" s="4" t="s">
        <v>19</v>
      </c>
      <c r="D395" s="36" t="s">
        <v>2092</v>
      </c>
      <c r="E395" s="32" t="s">
        <v>2641</v>
      </c>
      <c r="F395" s="5" t="s">
        <v>2642</v>
      </c>
      <c r="G395" s="5" t="s">
        <v>2643</v>
      </c>
      <c r="H395" s="19"/>
      <c r="I395" s="19" t="s">
        <v>840</v>
      </c>
      <c r="J395" s="19" t="s">
        <v>2644</v>
      </c>
      <c r="K395" s="18" t="s">
        <v>239</v>
      </c>
      <c r="L395" s="18" t="s">
        <v>157</v>
      </c>
      <c r="M395" s="34">
        <v>46422.0</v>
      </c>
      <c r="N395" s="35" t="s">
        <v>2387</v>
      </c>
      <c r="O395" s="19" t="s">
        <v>2645</v>
      </c>
      <c r="P395" s="19" t="s">
        <v>2646</v>
      </c>
      <c r="Q395" s="12" t="str">
        <f t="shared" si="1"/>
        <v>https://ec.europa.eu/info/funding-tenders/opportunities/portal/screen/opportunities/topic-details/HORIZON-CL6-2027-02-CLIMATE-01-two-stage</v>
      </c>
    </row>
    <row r="396" ht="66.0" customHeight="1">
      <c r="A396" s="4" t="s">
        <v>17</v>
      </c>
      <c r="B396" s="4" t="s">
        <v>18</v>
      </c>
      <c r="C396" s="4" t="s">
        <v>19</v>
      </c>
      <c r="D396" s="36" t="s">
        <v>2092</v>
      </c>
      <c r="E396" s="32" t="s">
        <v>2647</v>
      </c>
      <c r="F396" s="5" t="s">
        <v>2648</v>
      </c>
      <c r="G396" s="5" t="s">
        <v>2649</v>
      </c>
      <c r="H396" s="19" t="s">
        <v>2650</v>
      </c>
      <c r="I396" s="19" t="s">
        <v>606</v>
      </c>
      <c r="J396" s="19" t="s">
        <v>2651</v>
      </c>
      <c r="K396" s="18" t="s">
        <v>27</v>
      </c>
      <c r="L396" s="18" t="s">
        <v>28</v>
      </c>
      <c r="M396" s="34">
        <v>46036.0</v>
      </c>
      <c r="N396" s="35">
        <v>46126.0</v>
      </c>
      <c r="O396" s="19" t="s">
        <v>2652</v>
      </c>
      <c r="P396" s="19" t="s">
        <v>2653</v>
      </c>
      <c r="Q396" s="12" t="str">
        <f t="shared" si="1"/>
        <v>https://ec.europa.eu/info/funding-tenders/opportunities/portal/screen/opportunities/topic-details/HORIZON-CL6-2026-02-COMMUNITIES-01</v>
      </c>
    </row>
    <row r="397" ht="66.0" customHeight="1">
      <c r="A397" s="4" t="s">
        <v>17</v>
      </c>
      <c r="B397" s="4" t="s">
        <v>18</v>
      </c>
      <c r="C397" s="4" t="s">
        <v>19</v>
      </c>
      <c r="D397" s="36" t="s">
        <v>2092</v>
      </c>
      <c r="E397" s="32" t="s">
        <v>2654</v>
      </c>
      <c r="F397" s="5" t="s">
        <v>2655</v>
      </c>
      <c r="G397" s="5" t="s">
        <v>2656</v>
      </c>
      <c r="H397" s="19" t="s">
        <v>2657</v>
      </c>
      <c r="I397" s="19" t="s">
        <v>2169</v>
      </c>
      <c r="J397" s="19" t="s">
        <v>2658</v>
      </c>
      <c r="K397" s="18" t="s">
        <v>27</v>
      </c>
      <c r="L397" s="18" t="s">
        <v>28</v>
      </c>
      <c r="M397" s="34">
        <v>46497.0</v>
      </c>
      <c r="N397" s="35">
        <v>46653.0</v>
      </c>
      <c r="O397" s="19" t="s">
        <v>2659</v>
      </c>
      <c r="P397" s="19" t="s">
        <v>2660</v>
      </c>
      <c r="Q397" s="12" t="str">
        <f t="shared" si="1"/>
        <v>https://ec.europa.eu/info/funding-tenders/opportunities/portal/screen/opportunities/topic-details/HORIZON-CL6-2027-02-COMMUNITIES-01</v>
      </c>
    </row>
    <row r="398" ht="66.0" customHeight="1">
      <c r="A398" s="4" t="s">
        <v>17</v>
      </c>
      <c r="B398" s="4" t="s">
        <v>18</v>
      </c>
      <c r="C398" s="4" t="s">
        <v>19</v>
      </c>
      <c r="D398" s="36" t="s">
        <v>2092</v>
      </c>
      <c r="E398" s="32" t="s">
        <v>2661</v>
      </c>
      <c r="F398" s="5" t="s">
        <v>2662</v>
      </c>
      <c r="G398" s="5" t="s">
        <v>2663</v>
      </c>
      <c r="H398" s="19" t="s">
        <v>2664</v>
      </c>
      <c r="I398" s="19" t="s">
        <v>606</v>
      </c>
      <c r="J398" s="19" t="s">
        <v>2665</v>
      </c>
      <c r="K398" s="18" t="s">
        <v>239</v>
      </c>
      <c r="L398" s="18" t="s">
        <v>28</v>
      </c>
      <c r="M398" s="34">
        <v>46497.0</v>
      </c>
      <c r="N398" s="35">
        <v>46653.0</v>
      </c>
      <c r="O398" s="19" t="s">
        <v>2666</v>
      </c>
      <c r="P398" s="19" t="s">
        <v>2667</v>
      </c>
      <c r="Q398" s="12" t="str">
        <f t="shared" si="1"/>
        <v>https://ec.europa.eu/info/funding-tenders/opportunities/portal/screen/opportunities/topic-details/HORIZON-CL6-2027-02-COMMUNITIES-02</v>
      </c>
    </row>
    <row r="399" ht="66.0" customHeight="1">
      <c r="A399" s="4" t="s">
        <v>17</v>
      </c>
      <c r="B399" s="4" t="s">
        <v>18</v>
      </c>
      <c r="C399" s="4" t="s">
        <v>19</v>
      </c>
      <c r="D399" s="36" t="s">
        <v>2092</v>
      </c>
      <c r="E399" s="32" t="s">
        <v>2668</v>
      </c>
      <c r="F399" s="5" t="s">
        <v>2669</v>
      </c>
      <c r="G399" s="5" t="s">
        <v>2670</v>
      </c>
      <c r="H399" s="19"/>
      <c r="I399" s="19" t="s">
        <v>2169</v>
      </c>
      <c r="J399" s="19" t="s">
        <v>2671</v>
      </c>
      <c r="K399" s="18" t="s">
        <v>136</v>
      </c>
      <c r="L399" s="18" t="s">
        <v>28</v>
      </c>
      <c r="M399" s="34">
        <v>46036.0</v>
      </c>
      <c r="N399" s="35">
        <v>46127.0</v>
      </c>
      <c r="O399" s="19" t="s">
        <v>2672</v>
      </c>
      <c r="P399" s="19" t="s">
        <v>2673</v>
      </c>
      <c r="Q399" s="12" t="str">
        <f t="shared" si="1"/>
        <v>https://ec.europa.eu/info/funding-tenders/opportunities/portal/screen/opportunities/topic-details/HORIZON-CL6-2026-03-GOVERNANCE-01</v>
      </c>
    </row>
    <row r="400" ht="66.0" customHeight="1">
      <c r="A400" s="4" t="s">
        <v>17</v>
      </c>
      <c r="B400" s="4" t="s">
        <v>18</v>
      </c>
      <c r="C400" s="4" t="s">
        <v>19</v>
      </c>
      <c r="D400" s="36" t="s">
        <v>2092</v>
      </c>
      <c r="E400" s="32" t="s">
        <v>2674</v>
      </c>
      <c r="F400" s="5" t="s">
        <v>2675</v>
      </c>
      <c r="G400" s="5" t="s">
        <v>2676</v>
      </c>
      <c r="H400" s="19" t="s">
        <v>2677</v>
      </c>
      <c r="I400" s="19" t="s">
        <v>614</v>
      </c>
      <c r="J400" s="19" t="s">
        <v>2678</v>
      </c>
      <c r="K400" s="18" t="s">
        <v>27</v>
      </c>
      <c r="L400" s="18" t="s">
        <v>28</v>
      </c>
      <c r="M400" s="34">
        <v>46036.0</v>
      </c>
      <c r="N400" s="35">
        <v>46127.0</v>
      </c>
      <c r="O400" s="19" t="s">
        <v>2679</v>
      </c>
      <c r="P400" s="19" t="s">
        <v>2680</v>
      </c>
      <c r="Q400" s="12" t="str">
        <f t="shared" si="1"/>
        <v>https://ec.europa.eu/info/funding-tenders/opportunities/portal/screen/opportunities/topic-details/HORIZON-CL6-2026-03-GOVERNANCE-02</v>
      </c>
    </row>
    <row r="401" ht="66.0" customHeight="1">
      <c r="A401" s="4" t="s">
        <v>17</v>
      </c>
      <c r="B401" s="4" t="s">
        <v>18</v>
      </c>
      <c r="C401" s="4" t="s">
        <v>19</v>
      </c>
      <c r="D401" s="36" t="s">
        <v>2092</v>
      </c>
      <c r="E401" s="32" t="s">
        <v>2681</v>
      </c>
      <c r="F401" s="5" t="s">
        <v>2682</v>
      </c>
      <c r="G401" s="5" t="s">
        <v>2683</v>
      </c>
      <c r="H401" s="19"/>
      <c r="I401" s="19" t="s">
        <v>1556</v>
      </c>
      <c r="J401" s="19" t="s">
        <v>2684</v>
      </c>
      <c r="K401" s="18" t="s">
        <v>39</v>
      </c>
      <c r="L401" s="18" t="s">
        <v>28</v>
      </c>
      <c r="M401" s="34">
        <v>46036.0</v>
      </c>
      <c r="N401" s="35">
        <v>46127.0</v>
      </c>
      <c r="O401" s="19" t="s">
        <v>2685</v>
      </c>
      <c r="P401" s="19" t="s">
        <v>2686</v>
      </c>
      <c r="Q401" s="12" t="str">
        <f t="shared" si="1"/>
        <v>https://ec.europa.eu/info/funding-tenders/opportunities/portal/screen/opportunities/topic-details/HORIZON-CL6-2026-03-GOVERNANCE-03</v>
      </c>
    </row>
    <row r="402" ht="66.0" customHeight="1">
      <c r="A402" s="4" t="s">
        <v>17</v>
      </c>
      <c r="B402" s="4" t="s">
        <v>18</v>
      </c>
      <c r="C402" s="4" t="s">
        <v>19</v>
      </c>
      <c r="D402" s="36" t="s">
        <v>2092</v>
      </c>
      <c r="E402" s="32" t="s">
        <v>2687</v>
      </c>
      <c r="F402" s="5" t="s">
        <v>2688</v>
      </c>
      <c r="G402" s="5" t="s">
        <v>2689</v>
      </c>
      <c r="H402" s="19"/>
      <c r="I402" s="19" t="s">
        <v>1556</v>
      </c>
      <c r="J402" s="19" t="s">
        <v>2690</v>
      </c>
      <c r="K402" s="18" t="s">
        <v>39</v>
      </c>
      <c r="L402" s="18" t="s">
        <v>28</v>
      </c>
      <c r="M402" s="34">
        <v>46036.0</v>
      </c>
      <c r="N402" s="35">
        <v>46127.0</v>
      </c>
      <c r="O402" s="19" t="s">
        <v>2691</v>
      </c>
      <c r="P402" s="19" t="s">
        <v>2692</v>
      </c>
      <c r="Q402" s="12" t="str">
        <f t="shared" si="1"/>
        <v>https://ec.europa.eu/info/funding-tenders/opportunities/portal/screen/opportunities/topic-details/HORIZON-CL6-2026-03-GOVERNANCE-04</v>
      </c>
    </row>
    <row r="403" ht="66.0" customHeight="1">
      <c r="A403" s="4" t="s">
        <v>17</v>
      </c>
      <c r="B403" s="4" t="s">
        <v>18</v>
      </c>
      <c r="C403" s="4" t="s">
        <v>19</v>
      </c>
      <c r="D403" s="36" t="s">
        <v>2092</v>
      </c>
      <c r="E403" s="32" t="s">
        <v>2693</v>
      </c>
      <c r="F403" s="5" t="s">
        <v>2694</v>
      </c>
      <c r="G403" s="5" t="s">
        <v>2695</v>
      </c>
      <c r="H403" s="19"/>
      <c r="I403" s="19" t="s">
        <v>709</v>
      </c>
      <c r="J403" s="19" t="s">
        <v>2696</v>
      </c>
      <c r="K403" s="18" t="s">
        <v>27</v>
      </c>
      <c r="L403" s="18" t="s">
        <v>28</v>
      </c>
      <c r="M403" s="34">
        <v>46036.0</v>
      </c>
      <c r="N403" s="35">
        <v>46127.0</v>
      </c>
      <c r="O403" s="19" t="s">
        <v>2697</v>
      </c>
      <c r="P403" s="19" t="s">
        <v>2698</v>
      </c>
      <c r="Q403" s="12" t="str">
        <f t="shared" si="1"/>
        <v>https://ec.europa.eu/info/funding-tenders/opportunities/portal/screen/opportunities/topic-details/HORIZON-CL6-2026-03-GOVERNANCE-05</v>
      </c>
    </row>
    <row r="404" ht="66.0" customHeight="1">
      <c r="A404" s="4" t="s">
        <v>17</v>
      </c>
      <c r="B404" s="4" t="s">
        <v>18</v>
      </c>
      <c r="C404" s="4" t="s">
        <v>19</v>
      </c>
      <c r="D404" s="36" t="s">
        <v>2092</v>
      </c>
      <c r="E404" s="32" t="s">
        <v>2699</v>
      </c>
      <c r="F404" s="5" t="s">
        <v>2700</v>
      </c>
      <c r="G404" s="5" t="s">
        <v>2701</v>
      </c>
      <c r="H404" s="19"/>
      <c r="I404" s="19" t="s">
        <v>1257</v>
      </c>
      <c r="J404" s="19" t="s">
        <v>2702</v>
      </c>
      <c r="K404" s="18" t="s">
        <v>39</v>
      </c>
      <c r="L404" s="18" t="s">
        <v>28</v>
      </c>
      <c r="M404" s="34">
        <v>46036.0</v>
      </c>
      <c r="N404" s="35">
        <v>46127.0</v>
      </c>
      <c r="O404" s="19" t="s">
        <v>2703</v>
      </c>
      <c r="P404" s="19" t="s">
        <v>2704</v>
      </c>
      <c r="Q404" s="12" t="str">
        <f t="shared" si="1"/>
        <v>https://ec.europa.eu/info/funding-tenders/opportunities/portal/screen/opportunities/topic-details/HORIZON-CL6-2026-03-GOVERNANCE-06</v>
      </c>
    </row>
    <row r="405" ht="66.0" customHeight="1">
      <c r="A405" s="4" t="s">
        <v>17</v>
      </c>
      <c r="B405" s="4" t="s">
        <v>18</v>
      </c>
      <c r="C405" s="4" t="s">
        <v>19</v>
      </c>
      <c r="D405" s="36" t="s">
        <v>2092</v>
      </c>
      <c r="E405" s="32" t="s">
        <v>2705</v>
      </c>
      <c r="F405" s="5" t="s">
        <v>2706</v>
      </c>
      <c r="G405" s="5" t="s">
        <v>2707</v>
      </c>
      <c r="H405" s="19"/>
      <c r="I405" s="19" t="s">
        <v>888</v>
      </c>
      <c r="J405" s="19" t="s">
        <v>2708</v>
      </c>
      <c r="K405" s="18" t="s">
        <v>39</v>
      </c>
      <c r="L405" s="18" t="s">
        <v>28</v>
      </c>
      <c r="M405" s="34">
        <v>46036.0</v>
      </c>
      <c r="N405" s="35">
        <v>46127.0</v>
      </c>
      <c r="O405" s="19" t="s">
        <v>2709</v>
      </c>
      <c r="P405" s="19" t="s">
        <v>2710</v>
      </c>
      <c r="Q405" s="12" t="str">
        <f t="shared" si="1"/>
        <v>https://ec.europa.eu/info/funding-tenders/opportunities/portal/screen/opportunities/topic-details/HORIZON-CL6-2026-03-GOVERNANCE-07</v>
      </c>
    </row>
    <row r="406" ht="66.0" customHeight="1">
      <c r="A406" s="4" t="s">
        <v>17</v>
      </c>
      <c r="B406" s="4" t="s">
        <v>18</v>
      </c>
      <c r="C406" s="4" t="s">
        <v>19</v>
      </c>
      <c r="D406" s="36" t="s">
        <v>2092</v>
      </c>
      <c r="E406" s="32" t="s">
        <v>2711</v>
      </c>
      <c r="F406" s="5" t="s">
        <v>2712</v>
      </c>
      <c r="G406" s="5" t="s">
        <v>2713</v>
      </c>
      <c r="H406" s="19" t="s">
        <v>46</v>
      </c>
      <c r="I406" s="19" t="s">
        <v>2714</v>
      </c>
      <c r="J406" s="19" t="s">
        <v>2715</v>
      </c>
      <c r="K406" s="18" t="s">
        <v>239</v>
      </c>
      <c r="L406" s="18" t="s">
        <v>28</v>
      </c>
      <c r="M406" s="34">
        <v>46036.0</v>
      </c>
      <c r="N406" s="35">
        <v>46127.0</v>
      </c>
      <c r="O406" s="19" t="s">
        <v>2716</v>
      </c>
      <c r="P406" s="19" t="s">
        <v>2717</v>
      </c>
      <c r="Q406" s="12" t="str">
        <f t="shared" si="1"/>
        <v>https://ec.europa.eu/info/funding-tenders/opportunities/portal/screen/opportunities/topic-details/HORIZON-CL6-2026-03-GOVERNANCE-08</v>
      </c>
    </row>
    <row r="407" ht="66.0" customHeight="1">
      <c r="A407" s="4" t="s">
        <v>17</v>
      </c>
      <c r="B407" s="4" t="s">
        <v>18</v>
      </c>
      <c r="C407" s="4" t="s">
        <v>19</v>
      </c>
      <c r="D407" s="36" t="s">
        <v>2092</v>
      </c>
      <c r="E407" s="32" t="s">
        <v>2718</v>
      </c>
      <c r="F407" s="5" t="s">
        <v>2719</v>
      </c>
      <c r="G407" s="5" t="s">
        <v>2720</v>
      </c>
      <c r="H407" s="19"/>
      <c r="I407" s="19" t="s">
        <v>614</v>
      </c>
      <c r="J407" s="19" t="s">
        <v>2721</v>
      </c>
      <c r="K407" s="18" t="s">
        <v>39</v>
      </c>
      <c r="L407" s="18" t="s">
        <v>28</v>
      </c>
      <c r="M407" s="34">
        <v>46036.0</v>
      </c>
      <c r="N407" s="35">
        <v>46127.0</v>
      </c>
      <c r="O407" s="19" t="s">
        <v>2722</v>
      </c>
      <c r="P407" s="19" t="s">
        <v>2723</v>
      </c>
      <c r="Q407" s="12" t="str">
        <f t="shared" si="1"/>
        <v>https://ec.europa.eu/info/funding-tenders/opportunities/portal/screen/opportunities/topic-details/HORIZON-CL6-2026-03-GOVERNANCE-09</v>
      </c>
    </row>
    <row r="408" ht="66.0" customHeight="1">
      <c r="A408" s="4" t="s">
        <v>17</v>
      </c>
      <c r="B408" s="4" t="s">
        <v>18</v>
      </c>
      <c r="C408" s="4" t="s">
        <v>19</v>
      </c>
      <c r="D408" s="36" t="s">
        <v>2092</v>
      </c>
      <c r="E408" s="32" t="s">
        <v>2724</v>
      </c>
      <c r="F408" s="5" t="s">
        <v>2725</v>
      </c>
      <c r="G408" s="5" t="s">
        <v>2726</v>
      </c>
      <c r="H408" s="19" t="s">
        <v>2606</v>
      </c>
      <c r="I408" s="19" t="s">
        <v>533</v>
      </c>
      <c r="J408" s="19" t="s">
        <v>2727</v>
      </c>
      <c r="K408" s="18" t="s">
        <v>27</v>
      </c>
      <c r="L408" s="18" t="s">
        <v>28</v>
      </c>
      <c r="M408" s="34">
        <v>46036.0</v>
      </c>
      <c r="N408" s="35">
        <v>46127.0</v>
      </c>
      <c r="O408" s="19" t="s">
        <v>2728</v>
      </c>
      <c r="P408" s="19" t="s">
        <v>2729</v>
      </c>
      <c r="Q408" s="12" t="str">
        <f t="shared" si="1"/>
        <v>https://ec.europa.eu/info/funding-tenders/opportunities/portal/screen/opportunities/topic-details/HORIZON-CL6-2026-03-GOVERNANCE-10</v>
      </c>
    </row>
    <row r="409" ht="66.0" customHeight="1">
      <c r="A409" s="4" t="s">
        <v>17</v>
      </c>
      <c r="B409" s="4" t="s">
        <v>18</v>
      </c>
      <c r="C409" s="4" t="s">
        <v>19</v>
      </c>
      <c r="D409" s="36" t="s">
        <v>2092</v>
      </c>
      <c r="E409" s="32" t="s">
        <v>2730</v>
      </c>
      <c r="F409" s="5" t="s">
        <v>2731</v>
      </c>
      <c r="G409" s="5" t="s">
        <v>2732</v>
      </c>
      <c r="H409" s="19"/>
      <c r="I409" s="19" t="s">
        <v>868</v>
      </c>
      <c r="J409" s="19" t="s">
        <v>2733</v>
      </c>
      <c r="K409" s="18" t="s">
        <v>27</v>
      </c>
      <c r="L409" s="18" t="s">
        <v>157</v>
      </c>
      <c r="M409" s="34">
        <v>46065.0</v>
      </c>
      <c r="N409" s="35" t="s">
        <v>2734</v>
      </c>
      <c r="O409" s="19" t="s">
        <v>2735</v>
      </c>
      <c r="P409" s="19" t="s">
        <v>2736</v>
      </c>
      <c r="Q409" s="12" t="str">
        <f t="shared" si="1"/>
        <v>https://ec.europa.eu/info/funding-tenders/opportunities/portal/screen/opportunities/topic-details/HORIZON-CL6-2026-03-GOVERNANCE-01-two-stage</v>
      </c>
    </row>
    <row r="410" ht="66.0" customHeight="1">
      <c r="A410" s="4" t="s">
        <v>17</v>
      </c>
      <c r="B410" s="4" t="s">
        <v>18</v>
      </c>
      <c r="C410" s="4" t="s">
        <v>19</v>
      </c>
      <c r="D410" s="36" t="s">
        <v>2092</v>
      </c>
      <c r="E410" s="32" t="s">
        <v>2737</v>
      </c>
      <c r="F410" s="5" t="s">
        <v>2738</v>
      </c>
      <c r="G410" s="5" t="s">
        <v>2739</v>
      </c>
      <c r="H410" s="19"/>
      <c r="I410" s="19" t="s">
        <v>868</v>
      </c>
      <c r="J410" s="19" t="s">
        <v>2740</v>
      </c>
      <c r="K410" s="18" t="s">
        <v>136</v>
      </c>
      <c r="L410" s="18" t="s">
        <v>28</v>
      </c>
      <c r="M410" s="34">
        <v>46259.0</v>
      </c>
      <c r="N410" s="35">
        <v>46352.0</v>
      </c>
      <c r="O410" s="19" t="s">
        <v>2741</v>
      </c>
      <c r="P410" s="19" t="s">
        <v>2742</v>
      </c>
      <c r="Q410" s="12" t="str">
        <f t="shared" si="1"/>
        <v>https://ec.europa.eu/info/funding-tenders/opportunities/portal/screen/opportunities/topic-details/HORIZON-CL6-2026-04-GOVERNANCE-01</v>
      </c>
    </row>
    <row r="411" ht="66.0" customHeight="1">
      <c r="A411" s="4" t="s">
        <v>17</v>
      </c>
      <c r="B411" s="4" t="s">
        <v>18</v>
      </c>
      <c r="C411" s="4" t="s">
        <v>19</v>
      </c>
      <c r="D411" s="36" t="s">
        <v>2092</v>
      </c>
      <c r="E411" s="32" t="s">
        <v>2743</v>
      </c>
      <c r="F411" s="5" t="s">
        <v>2744</v>
      </c>
      <c r="G411" s="5" t="s">
        <v>2745</v>
      </c>
      <c r="H411" s="19" t="s">
        <v>2746</v>
      </c>
      <c r="I411" s="19" t="s">
        <v>606</v>
      </c>
      <c r="J411" s="19" t="s">
        <v>2747</v>
      </c>
      <c r="K411" s="18" t="s">
        <v>27</v>
      </c>
      <c r="L411" s="18" t="s">
        <v>28</v>
      </c>
      <c r="M411" s="35">
        <v>46422.0</v>
      </c>
      <c r="N411" s="35">
        <v>46518.0</v>
      </c>
      <c r="O411" s="19" t="s">
        <v>2748</v>
      </c>
      <c r="P411" s="19" t="s">
        <v>2749</v>
      </c>
      <c r="Q411" s="12" t="str">
        <f t="shared" si="1"/>
        <v>https://ec.europa.eu/info/funding-tenders/opportunities/portal/screen/opportunities/topic-details/HORIZON-CL6-2027-03-GOVERNANCE-01</v>
      </c>
    </row>
    <row r="412" ht="66.0" customHeight="1">
      <c r="A412" s="4" t="s">
        <v>17</v>
      </c>
      <c r="B412" s="4" t="s">
        <v>18</v>
      </c>
      <c r="C412" s="4" t="s">
        <v>19</v>
      </c>
      <c r="D412" s="36" t="s">
        <v>2092</v>
      </c>
      <c r="E412" s="32" t="s">
        <v>2750</v>
      </c>
      <c r="F412" s="5" t="s">
        <v>2751</v>
      </c>
      <c r="G412" s="5" t="s">
        <v>2752</v>
      </c>
      <c r="H412" s="19" t="s">
        <v>2753</v>
      </c>
      <c r="I412" s="19" t="s">
        <v>1515</v>
      </c>
      <c r="J412" s="19" t="s">
        <v>2754</v>
      </c>
      <c r="K412" s="18" t="s">
        <v>27</v>
      </c>
      <c r="L412" s="18" t="s">
        <v>28</v>
      </c>
      <c r="M412" s="35">
        <v>46422.0</v>
      </c>
      <c r="N412" s="35">
        <v>46518.0</v>
      </c>
      <c r="O412" s="19" t="s">
        <v>2755</v>
      </c>
      <c r="P412" s="19" t="s">
        <v>2756</v>
      </c>
      <c r="Q412" s="12" t="str">
        <f t="shared" si="1"/>
        <v>https://ec.europa.eu/info/funding-tenders/opportunities/portal/screen/opportunities/topic-details/HORIZON-CL6-2027-03-GOVERNANCE-02</v>
      </c>
    </row>
    <row r="413" ht="66.0" customHeight="1">
      <c r="A413" s="4" t="s">
        <v>17</v>
      </c>
      <c r="B413" s="4" t="s">
        <v>18</v>
      </c>
      <c r="C413" s="4" t="s">
        <v>19</v>
      </c>
      <c r="D413" s="36" t="s">
        <v>2092</v>
      </c>
      <c r="E413" s="32" t="s">
        <v>2757</v>
      </c>
      <c r="F413" s="5" t="s">
        <v>2758</v>
      </c>
      <c r="G413" s="5" t="s">
        <v>2759</v>
      </c>
      <c r="H413" s="19" t="s">
        <v>650</v>
      </c>
      <c r="I413" s="19" t="s">
        <v>1556</v>
      </c>
      <c r="J413" s="19" t="s">
        <v>2760</v>
      </c>
      <c r="K413" s="18" t="s">
        <v>39</v>
      </c>
      <c r="L413" s="18" t="s">
        <v>28</v>
      </c>
      <c r="M413" s="35">
        <v>46422.0</v>
      </c>
      <c r="N413" s="35">
        <v>46518.0</v>
      </c>
      <c r="O413" s="19" t="s">
        <v>2761</v>
      </c>
      <c r="P413" s="19" t="s">
        <v>2762</v>
      </c>
      <c r="Q413" s="12" t="str">
        <f t="shared" si="1"/>
        <v>https://ec.europa.eu/info/funding-tenders/opportunities/portal/screen/opportunities/topic-details/HORIZON-CL6-2027-03-GOVERNANCE-03</v>
      </c>
    </row>
    <row r="414" ht="66.0" customHeight="1">
      <c r="A414" s="4" t="s">
        <v>17</v>
      </c>
      <c r="B414" s="4" t="s">
        <v>18</v>
      </c>
      <c r="C414" s="4" t="s">
        <v>19</v>
      </c>
      <c r="D414" s="36" t="s">
        <v>2092</v>
      </c>
      <c r="E414" s="32" t="s">
        <v>2763</v>
      </c>
      <c r="F414" s="5" t="s">
        <v>2764</v>
      </c>
      <c r="G414" s="5" t="s">
        <v>2765</v>
      </c>
      <c r="H414" s="19" t="s">
        <v>2766</v>
      </c>
      <c r="I414" s="19" t="s">
        <v>1257</v>
      </c>
      <c r="J414" s="19" t="s">
        <v>2767</v>
      </c>
      <c r="K414" s="18" t="s">
        <v>239</v>
      </c>
      <c r="L414" s="18" t="s">
        <v>28</v>
      </c>
      <c r="M414" s="35">
        <v>46422.0</v>
      </c>
      <c r="N414" s="35">
        <v>46518.0</v>
      </c>
      <c r="O414" s="19" t="s">
        <v>2768</v>
      </c>
      <c r="P414" s="19" t="s">
        <v>2769</v>
      </c>
      <c r="Q414" s="12" t="str">
        <f t="shared" si="1"/>
        <v>https://ec.europa.eu/info/funding-tenders/opportunities/portal/screen/opportunities/topic-details/HORIZON-CL6-2027-03-GOVERNANCE-04</v>
      </c>
    </row>
    <row r="415" ht="66.0" customHeight="1">
      <c r="A415" s="4" t="s">
        <v>17</v>
      </c>
      <c r="B415" s="4" t="s">
        <v>18</v>
      </c>
      <c r="C415" s="4" t="s">
        <v>19</v>
      </c>
      <c r="D415" s="36" t="s">
        <v>2092</v>
      </c>
      <c r="E415" s="32" t="s">
        <v>2770</v>
      </c>
      <c r="F415" s="5" t="s">
        <v>2719</v>
      </c>
      <c r="G415" s="5" t="s">
        <v>2720</v>
      </c>
      <c r="H415" s="19"/>
      <c r="I415" s="19" t="s">
        <v>614</v>
      </c>
      <c r="J415" s="19" t="s">
        <v>2771</v>
      </c>
      <c r="K415" s="18" t="s">
        <v>39</v>
      </c>
      <c r="L415" s="18" t="s">
        <v>28</v>
      </c>
      <c r="M415" s="35">
        <v>46422.0</v>
      </c>
      <c r="N415" s="35">
        <v>46518.0</v>
      </c>
      <c r="O415" s="19" t="s">
        <v>2772</v>
      </c>
      <c r="P415" s="19" t="s">
        <v>2773</v>
      </c>
      <c r="Q415" s="12" t="str">
        <f t="shared" si="1"/>
        <v>https://ec.europa.eu/info/funding-tenders/opportunities/portal/screen/opportunities/topic-details/HORIZON-CL6-2027-03-GOVERNANCE-05</v>
      </c>
    </row>
    <row r="416" ht="66.0" customHeight="1">
      <c r="A416" s="4" t="s">
        <v>17</v>
      </c>
      <c r="B416" s="4" t="s">
        <v>18</v>
      </c>
      <c r="C416" s="4" t="s">
        <v>19</v>
      </c>
      <c r="D416" s="36" t="s">
        <v>2092</v>
      </c>
      <c r="E416" s="32" t="s">
        <v>2774</v>
      </c>
      <c r="F416" s="5" t="s">
        <v>2775</v>
      </c>
      <c r="G416" s="5" t="s">
        <v>2776</v>
      </c>
      <c r="H416" s="19"/>
      <c r="I416" s="19" t="s">
        <v>614</v>
      </c>
      <c r="J416" s="19" t="s">
        <v>2777</v>
      </c>
      <c r="K416" s="18" t="s">
        <v>39</v>
      </c>
      <c r="L416" s="18" t="s">
        <v>28</v>
      </c>
      <c r="M416" s="34">
        <v>46422.0</v>
      </c>
      <c r="N416" s="35">
        <v>46518.0</v>
      </c>
      <c r="O416" s="19" t="s">
        <v>2778</v>
      </c>
      <c r="P416" s="19" t="s">
        <v>2779</v>
      </c>
      <c r="Q416" s="12" t="str">
        <f t="shared" si="1"/>
        <v>https://ec.europa.eu/info/funding-tenders/opportunities/portal/screen/opportunities/topic-details/HORIZON-CL6-2027-03-GOVERNANCE-06</v>
      </c>
    </row>
    <row r="417" ht="66.0" customHeight="1">
      <c r="A417" s="4" t="s">
        <v>17</v>
      </c>
      <c r="B417" s="4" t="s">
        <v>18</v>
      </c>
      <c r="C417" s="4" t="s">
        <v>19</v>
      </c>
      <c r="D417" s="36" t="s">
        <v>2092</v>
      </c>
      <c r="E417" s="33" t="s">
        <v>2780</v>
      </c>
      <c r="F417" s="36" t="s">
        <v>2781</v>
      </c>
      <c r="G417" s="36" t="s">
        <v>2782</v>
      </c>
      <c r="H417" s="14"/>
      <c r="I417" s="14" t="s">
        <v>1556</v>
      </c>
      <c r="J417" s="14" t="s">
        <v>2783</v>
      </c>
      <c r="K417" s="13" t="s">
        <v>39</v>
      </c>
      <c r="L417" s="13" t="s">
        <v>28</v>
      </c>
      <c r="M417" s="37">
        <v>46422.0</v>
      </c>
      <c r="N417" s="38">
        <v>46518.0</v>
      </c>
      <c r="O417" s="14" t="s">
        <v>2784</v>
      </c>
      <c r="P417" s="14" t="s">
        <v>2785</v>
      </c>
      <c r="Q417" s="12" t="str">
        <f t="shared" si="1"/>
        <v>https://ec.europa.eu/info/funding-tenders/opportunities/portal/screen/opportunities/topic-details/HORIZON-CL6-2027-03-GOVERNANCE-07</v>
      </c>
    </row>
    <row r="418" ht="66.0" customHeight="1">
      <c r="A418" s="4" t="s">
        <v>2786</v>
      </c>
      <c r="B418" s="4" t="s">
        <v>2787</v>
      </c>
      <c r="C418" s="4" t="s">
        <v>2788</v>
      </c>
      <c r="D418" s="36" t="s">
        <v>2789</v>
      </c>
      <c r="E418" s="33" t="s">
        <v>2790</v>
      </c>
      <c r="F418" s="36" t="s">
        <v>2791</v>
      </c>
      <c r="G418" s="36" t="s">
        <v>2792</v>
      </c>
      <c r="H418" s="14"/>
      <c r="I418" s="14"/>
      <c r="J418" s="14" t="s">
        <v>2793</v>
      </c>
      <c r="K418" s="13" t="s">
        <v>2794</v>
      </c>
      <c r="L418" s="13" t="s">
        <v>2795</v>
      </c>
      <c r="M418" s="37">
        <v>46007.0</v>
      </c>
      <c r="N418" s="38">
        <v>46128.0</v>
      </c>
      <c r="O418" s="14" t="s">
        <v>2796</v>
      </c>
      <c r="P418" s="14" t="s">
        <v>2797</v>
      </c>
      <c r="Q418" s="12" t="s">
        <v>2798</v>
      </c>
    </row>
    <row r="419" ht="66.0" customHeight="1">
      <c r="A419" s="4" t="s">
        <v>2799</v>
      </c>
      <c r="B419" s="4" t="s">
        <v>2800</v>
      </c>
      <c r="C419" s="4"/>
      <c r="D419" s="36" t="s">
        <v>32</v>
      </c>
      <c r="E419" s="33"/>
      <c r="F419" s="36" t="s">
        <v>2801</v>
      </c>
      <c r="G419" s="36" t="s">
        <v>2802</v>
      </c>
      <c r="H419" s="14"/>
      <c r="I419" s="14" t="s">
        <v>2803</v>
      </c>
      <c r="J419" s="14" t="s">
        <v>2804</v>
      </c>
      <c r="K419" s="13" t="s">
        <v>2805</v>
      </c>
      <c r="L419" s="13" t="s">
        <v>2795</v>
      </c>
      <c r="M419" s="37">
        <v>45965.0</v>
      </c>
      <c r="N419" s="38">
        <v>46097.0</v>
      </c>
      <c r="O419" s="14" t="s">
        <v>2806</v>
      </c>
      <c r="P419" s="14" t="s">
        <v>2807</v>
      </c>
      <c r="Q419" s="12" t="s">
        <v>2808</v>
      </c>
    </row>
    <row r="420" ht="66.0" customHeight="1">
      <c r="A420" s="4" t="s">
        <v>2809</v>
      </c>
      <c r="B420" s="4" t="s">
        <v>2800</v>
      </c>
      <c r="C420" s="4"/>
      <c r="D420" s="36" t="s">
        <v>304</v>
      </c>
      <c r="E420" s="33" t="s">
        <v>2810</v>
      </c>
      <c r="F420" s="36" t="s">
        <v>2811</v>
      </c>
      <c r="G420" s="36" t="s">
        <v>2812</v>
      </c>
      <c r="H420" s="14"/>
      <c r="I420" s="14" t="s">
        <v>517</v>
      </c>
      <c r="J420" s="14" t="s">
        <v>2813</v>
      </c>
      <c r="K420" s="13" t="s">
        <v>2805</v>
      </c>
      <c r="L420" s="13" t="s">
        <v>2795</v>
      </c>
      <c r="M420" s="37">
        <v>46023.0</v>
      </c>
      <c r="N420" s="38">
        <v>46094.0</v>
      </c>
      <c r="O420" s="14" t="s">
        <v>2814</v>
      </c>
      <c r="P420" s="14" t="s">
        <v>2815</v>
      </c>
      <c r="Q420" s="12" t="s">
        <v>2816</v>
      </c>
    </row>
    <row r="421" ht="66.0" customHeight="1">
      <c r="A421" s="4" t="s">
        <v>2817</v>
      </c>
      <c r="B421" s="4" t="s">
        <v>2800</v>
      </c>
      <c r="C421" s="4"/>
      <c r="D421" s="36" t="s">
        <v>32</v>
      </c>
      <c r="E421" s="33"/>
      <c r="F421" s="36" t="s">
        <v>2818</v>
      </c>
      <c r="G421" s="36" t="s">
        <v>2819</v>
      </c>
      <c r="H421" s="14"/>
      <c r="I421" s="14" t="s">
        <v>2714</v>
      </c>
      <c r="J421" s="14" t="s">
        <v>2820</v>
      </c>
      <c r="K421" s="13" t="s">
        <v>2805</v>
      </c>
      <c r="L421" s="13" t="s">
        <v>2795</v>
      </c>
      <c r="M421" s="37">
        <v>46037.0</v>
      </c>
      <c r="N421" s="38">
        <v>46113.0</v>
      </c>
      <c r="O421" s="14" t="s">
        <v>2821</v>
      </c>
      <c r="P421" s="14" t="s">
        <v>2822</v>
      </c>
      <c r="Q421" s="12" t="s">
        <v>2823</v>
      </c>
    </row>
    <row r="422" ht="66.0" customHeight="1">
      <c r="A422" s="4" t="s">
        <v>2817</v>
      </c>
      <c r="B422" s="4" t="s">
        <v>2800</v>
      </c>
      <c r="C422" s="4"/>
      <c r="D422" s="36" t="s">
        <v>32</v>
      </c>
      <c r="E422" s="33"/>
      <c r="F422" s="36" t="s">
        <v>2824</v>
      </c>
      <c r="G422" s="36" t="s">
        <v>2825</v>
      </c>
      <c r="H422" s="14"/>
      <c r="I422" s="14" t="s">
        <v>2714</v>
      </c>
      <c r="J422" s="14" t="s">
        <v>2826</v>
      </c>
      <c r="K422" s="13" t="s">
        <v>2805</v>
      </c>
      <c r="L422" s="13" t="s">
        <v>2795</v>
      </c>
      <c r="M422" s="37">
        <v>46037.0</v>
      </c>
      <c r="N422" s="38">
        <v>46113.0</v>
      </c>
      <c r="O422" s="14" t="s">
        <v>2827</v>
      </c>
      <c r="P422" s="14" t="s">
        <v>2828</v>
      </c>
      <c r="Q422" s="12" t="s">
        <v>2823</v>
      </c>
    </row>
    <row r="423" ht="66.0" customHeight="1">
      <c r="A423" s="4" t="s">
        <v>2829</v>
      </c>
      <c r="B423" s="4" t="s">
        <v>2800</v>
      </c>
      <c r="C423" s="4"/>
      <c r="D423" s="36" t="s">
        <v>32</v>
      </c>
      <c r="E423" s="33"/>
      <c r="F423" s="36" t="s">
        <v>2830</v>
      </c>
      <c r="G423" s="36" t="s">
        <v>2831</v>
      </c>
      <c r="H423" s="14"/>
      <c r="I423" s="14" t="s">
        <v>2832</v>
      </c>
      <c r="J423" s="14" t="s">
        <v>2833</v>
      </c>
      <c r="K423" s="13" t="s">
        <v>2805</v>
      </c>
      <c r="L423" s="13" t="s">
        <v>2795</v>
      </c>
      <c r="M423" s="37">
        <v>46084.0</v>
      </c>
      <c r="N423" s="38">
        <v>46114.0</v>
      </c>
      <c r="O423" s="14" t="s">
        <v>2834</v>
      </c>
      <c r="P423" s="14" t="s">
        <v>2835</v>
      </c>
      <c r="Q423" s="12" t="s">
        <v>2836</v>
      </c>
    </row>
    <row r="424" ht="66.0" customHeight="1">
      <c r="A424" s="4" t="s">
        <v>2786</v>
      </c>
      <c r="B424" s="4" t="s">
        <v>2837</v>
      </c>
      <c r="C424" s="4" t="s">
        <v>2838</v>
      </c>
      <c r="D424" s="36" t="s">
        <v>304</v>
      </c>
      <c r="E424" s="33" t="s">
        <v>2839</v>
      </c>
      <c r="F424" s="36" t="s">
        <v>2840</v>
      </c>
      <c r="G424" s="36" t="s">
        <v>2841</v>
      </c>
      <c r="H424" s="14"/>
      <c r="I424" s="14" t="s">
        <v>517</v>
      </c>
      <c r="J424" s="14" t="s">
        <v>2842</v>
      </c>
      <c r="K424" s="13" t="s">
        <v>2843</v>
      </c>
      <c r="L424" s="13" t="s">
        <v>2795</v>
      </c>
      <c r="M424" s="37">
        <v>46051.0</v>
      </c>
      <c r="N424" s="38">
        <v>46140.0</v>
      </c>
      <c r="O424" s="14" t="s">
        <v>2844</v>
      </c>
      <c r="P424" s="14" t="s">
        <v>2845</v>
      </c>
      <c r="Q424" s="12" t="s">
        <v>2846</v>
      </c>
    </row>
    <row r="425" ht="66.0" customHeight="1">
      <c r="A425" s="4" t="s">
        <v>2786</v>
      </c>
      <c r="B425" s="4" t="s">
        <v>2837</v>
      </c>
      <c r="C425" s="4" t="s">
        <v>2838</v>
      </c>
      <c r="D425" s="36" t="s">
        <v>304</v>
      </c>
      <c r="E425" s="33" t="s">
        <v>2847</v>
      </c>
      <c r="F425" s="36" t="s">
        <v>2848</v>
      </c>
      <c r="G425" s="36" t="s">
        <v>2849</v>
      </c>
      <c r="H425" s="14"/>
      <c r="I425" s="14" t="s">
        <v>517</v>
      </c>
      <c r="J425" s="14" t="s">
        <v>2850</v>
      </c>
      <c r="K425" s="13" t="s">
        <v>2843</v>
      </c>
      <c r="L425" s="13" t="s">
        <v>2795</v>
      </c>
      <c r="M425" s="37">
        <v>46051.0</v>
      </c>
      <c r="N425" s="38">
        <v>46140.0</v>
      </c>
      <c r="O425" s="14" t="s">
        <v>2851</v>
      </c>
      <c r="P425" s="14" t="s">
        <v>2852</v>
      </c>
      <c r="Q425" s="12" t="s">
        <v>2846</v>
      </c>
    </row>
    <row r="426" ht="66.0" customHeight="1">
      <c r="A426" s="4" t="s">
        <v>2786</v>
      </c>
      <c r="B426" s="4" t="s">
        <v>2837</v>
      </c>
      <c r="C426" s="4" t="s">
        <v>2838</v>
      </c>
      <c r="D426" s="36" t="s">
        <v>304</v>
      </c>
      <c r="E426" s="33" t="s">
        <v>2853</v>
      </c>
      <c r="F426" s="36" t="s">
        <v>2854</v>
      </c>
      <c r="G426" s="36" t="s">
        <v>2855</v>
      </c>
      <c r="H426" s="14"/>
      <c r="I426" s="14" t="s">
        <v>517</v>
      </c>
      <c r="J426" s="14" t="s">
        <v>2856</v>
      </c>
      <c r="K426" s="13" t="s">
        <v>2843</v>
      </c>
      <c r="L426" s="13" t="s">
        <v>2795</v>
      </c>
      <c r="M426" s="37">
        <v>46051.0</v>
      </c>
      <c r="N426" s="38">
        <v>46140.0</v>
      </c>
      <c r="O426" s="14" t="s">
        <v>2857</v>
      </c>
      <c r="P426" s="14" t="s">
        <v>2858</v>
      </c>
      <c r="Q426" s="12" t="s">
        <v>2846</v>
      </c>
    </row>
    <row r="427" ht="66.0" customHeight="1">
      <c r="A427" s="4" t="s">
        <v>2786</v>
      </c>
      <c r="B427" s="4" t="s">
        <v>2837</v>
      </c>
      <c r="C427" s="4" t="s">
        <v>2838</v>
      </c>
      <c r="D427" s="36" t="s">
        <v>304</v>
      </c>
      <c r="E427" s="33" t="s">
        <v>2859</v>
      </c>
      <c r="F427" s="36" t="s">
        <v>2860</v>
      </c>
      <c r="G427" s="36" t="s">
        <v>2861</v>
      </c>
      <c r="H427" s="14"/>
      <c r="I427" s="14" t="s">
        <v>517</v>
      </c>
      <c r="J427" s="14" t="s">
        <v>2862</v>
      </c>
      <c r="K427" s="13" t="s">
        <v>2843</v>
      </c>
      <c r="L427" s="13" t="s">
        <v>2795</v>
      </c>
      <c r="M427" s="37">
        <v>46051.0</v>
      </c>
      <c r="N427" s="38">
        <v>46140.0</v>
      </c>
      <c r="O427" s="14" t="s">
        <v>2863</v>
      </c>
      <c r="P427" s="14" t="s">
        <v>2864</v>
      </c>
      <c r="Q427" s="12" t="s">
        <v>2846</v>
      </c>
    </row>
    <row r="428" ht="66.0" customHeight="1">
      <c r="A428" s="4" t="s">
        <v>2786</v>
      </c>
      <c r="B428" s="4" t="s">
        <v>2837</v>
      </c>
      <c r="C428" s="4" t="s">
        <v>2865</v>
      </c>
      <c r="D428" s="36" t="s">
        <v>304</v>
      </c>
      <c r="E428" s="33" t="s">
        <v>2866</v>
      </c>
      <c r="F428" s="36" t="s">
        <v>2867</v>
      </c>
      <c r="G428" s="36" t="s">
        <v>2868</v>
      </c>
      <c r="H428" s="14"/>
      <c r="I428" s="14" t="s">
        <v>517</v>
      </c>
      <c r="J428" s="14" t="s">
        <v>2869</v>
      </c>
      <c r="K428" s="13" t="s">
        <v>2870</v>
      </c>
      <c r="L428" s="13" t="s">
        <v>2795</v>
      </c>
      <c r="M428" s="37">
        <v>46027.0</v>
      </c>
      <c r="N428" s="38">
        <v>46120.0</v>
      </c>
      <c r="O428" s="14" t="s">
        <v>2871</v>
      </c>
      <c r="P428" s="14" t="s">
        <v>2872</v>
      </c>
      <c r="Q428" s="12" t="s">
        <v>2873</v>
      </c>
    </row>
    <row r="429" ht="66.0" customHeight="1">
      <c r="A429" s="4" t="s">
        <v>2874</v>
      </c>
      <c r="B429" s="4" t="s">
        <v>2800</v>
      </c>
      <c r="C429" s="4"/>
      <c r="D429" s="36" t="s">
        <v>2875</v>
      </c>
      <c r="E429" s="33"/>
      <c r="F429" s="36" t="s">
        <v>2876</v>
      </c>
      <c r="G429" s="36" t="s">
        <v>2877</v>
      </c>
      <c r="H429" s="14"/>
      <c r="I429" s="14" t="s">
        <v>2878</v>
      </c>
      <c r="J429" s="14" t="s">
        <v>2879</v>
      </c>
      <c r="K429" s="13" t="s">
        <v>2880</v>
      </c>
      <c r="L429" s="13" t="s">
        <v>2795</v>
      </c>
      <c r="M429" s="37" t="s">
        <v>2881</v>
      </c>
      <c r="N429" s="38" t="s">
        <v>2882</v>
      </c>
      <c r="O429" s="14" t="s">
        <v>2883</v>
      </c>
      <c r="P429" s="14" t="s">
        <v>2884</v>
      </c>
      <c r="Q429" s="12" t="s">
        <v>2885</v>
      </c>
    </row>
    <row r="430" ht="66.0" customHeight="1">
      <c r="A430" s="4" t="s">
        <v>2886</v>
      </c>
      <c r="B430" s="4" t="s">
        <v>2787</v>
      </c>
      <c r="C430" s="4" t="s">
        <v>2887</v>
      </c>
      <c r="D430" s="36" t="s">
        <v>32</v>
      </c>
      <c r="E430" s="33"/>
      <c r="F430" s="36" t="s">
        <v>2888</v>
      </c>
      <c r="G430" s="36" t="s">
        <v>2889</v>
      </c>
      <c r="H430" s="14"/>
      <c r="I430" s="14" t="s">
        <v>105</v>
      </c>
      <c r="J430" s="14" t="s">
        <v>2890</v>
      </c>
      <c r="K430" s="13" t="s">
        <v>2891</v>
      </c>
      <c r="L430" s="13" t="s">
        <v>2892</v>
      </c>
      <c r="M430" s="37">
        <v>46041.0</v>
      </c>
      <c r="N430" s="38" t="s">
        <v>2893</v>
      </c>
      <c r="O430" s="14" t="s">
        <v>2894</v>
      </c>
      <c r="P430" s="14" t="s">
        <v>2895</v>
      </c>
      <c r="Q430" s="12" t="s">
        <v>2896</v>
      </c>
    </row>
    <row r="431" ht="66.0" customHeight="1">
      <c r="A431" s="4" t="s">
        <v>2897</v>
      </c>
      <c r="B431" s="4" t="s">
        <v>2787</v>
      </c>
      <c r="C431" s="4" t="s">
        <v>2887</v>
      </c>
      <c r="D431" s="5" t="s">
        <v>2092</v>
      </c>
      <c r="E431" s="33"/>
      <c r="F431" s="36" t="s">
        <v>2898</v>
      </c>
      <c r="G431" s="36" t="s">
        <v>2899</v>
      </c>
      <c r="H431" s="14"/>
      <c r="I431" s="14" t="s">
        <v>2129</v>
      </c>
      <c r="J431" s="14" t="s">
        <v>2900</v>
      </c>
      <c r="K431" s="13" t="s">
        <v>2891</v>
      </c>
      <c r="L431" s="13" t="s">
        <v>2892</v>
      </c>
      <c r="M431" s="37">
        <v>46048.0</v>
      </c>
      <c r="N431" s="38" t="s">
        <v>2901</v>
      </c>
      <c r="O431" s="14" t="s">
        <v>2902</v>
      </c>
      <c r="P431" s="14" t="s">
        <v>2903</v>
      </c>
      <c r="Q431" s="12" t="s">
        <v>2904</v>
      </c>
    </row>
    <row r="432" ht="66.0" customHeight="1">
      <c r="A432" s="4" t="s">
        <v>2905</v>
      </c>
      <c r="B432" s="4" t="s">
        <v>2800</v>
      </c>
      <c r="C432" s="4"/>
      <c r="D432" s="36" t="s">
        <v>2875</v>
      </c>
      <c r="E432" s="33"/>
      <c r="F432" s="36" t="s">
        <v>2906</v>
      </c>
      <c r="G432" s="36" t="s">
        <v>2907</v>
      </c>
      <c r="H432" s="14"/>
      <c r="I432" s="14" t="s">
        <v>2908</v>
      </c>
      <c r="J432" s="14" t="s">
        <v>2909</v>
      </c>
      <c r="K432" s="13" t="s">
        <v>2880</v>
      </c>
      <c r="L432" s="13" t="s">
        <v>2795</v>
      </c>
      <c r="M432" s="37" t="s">
        <v>2910</v>
      </c>
      <c r="N432" s="38" t="s">
        <v>2911</v>
      </c>
      <c r="O432" s="14" t="s">
        <v>2912</v>
      </c>
      <c r="P432" s="14" t="s">
        <v>2913</v>
      </c>
      <c r="Q432" s="12" t="s">
        <v>2914</v>
      </c>
    </row>
    <row r="433" ht="66.0" customHeight="1">
      <c r="A433" s="4" t="s">
        <v>2915</v>
      </c>
      <c r="B433" s="4" t="s">
        <v>2800</v>
      </c>
      <c r="C433" s="4"/>
      <c r="D433" s="36" t="s">
        <v>32</v>
      </c>
      <c r="E433" s="33"/>
      <c r="F433" s="36" t="s">
        <v>2916</v>
      </c>
      <c r="G433" s="36" t="s">
        <v>2917</v>
      </c>
      <c r="H433" s="14"/>
      <c r="I433" s="14" t="s">
        <v>2918</v>
      </c>
      <c r="J433" s="14" t="s">
        <v>2919</v>
      </c>
      <c r="K433" s="13" t="s">
        <v>2880</v>
      </c>
      <c r="L433" s="13" t="s">
        <v>2892</v>
      </c>
      <c r="M433" s="37">
        <v>46023.0</v>
      </c>
      <c r="N433" s="38" t="s">
        <v>2920</v>
      </c>
      <c r="O433" s="14" t="s">
        <v>2921</v>
      </c>
      <c r="P433" s="14" t="s">
        <v>2922</v>
      </c>
      <c r="Q433" s="12" t="s">
        <v>2923</v>
      </c>
    </row>
    <row r="434" ht="66.0" customHeight="1">
      <c r="A434" s="4" t="s">
        <v>2786</v>
      </c>
      <c r="B434" s="4" t="s">
        <v>2924</v>
      </c>
      <c r="C434" s="4" t="s">
        <v>2838</v>
      </c>
      <c r="D434" s="36" t="s">
        <v>304</v>
      </c>
      <c r="E434" s="33" t="s">
        <v>2925</v>
      </c>
      <c r="F434" s="36" t="s">
        <v>2926</v>
      </c>
      <c r="G434" s="36" t="s">
        <v>2927</v>
      </c>
      <c r="H434" s="14"/>
      <c r="I434" s="14" t="s">
        <v>1556</v>
      </c>
      <c r="J434" s="14" t="s">
        <v>2928</v>
      </c>
      <c r="K434" s="13" t="s">
        <v>2843</v>
      </c>
      <c r="L434" s="13" t="s">
        <v>2795</v>
      </c>
      <c r="M434" s="37">
        <v>46083.0</v>
      </c>
      <c r="N434" s="38">
        <v>46359.0</v>
      </c>
      <c r="O434" s="14" t="s">
        <v>2929</v>
      </c>
      <c r="P434" s="14" t="s">
        <v>2930</v>
      </c>
      <c r="Q434" s="12" t="s">
        <v>2931</v>
      </c>
    </row>
    <row r="435" ht="66.0" customHeight="1">
      <c r="A435" s="4" t="s">
        <v>2786</v>
      </c>
      <c r="B435" s="4" t="s">
        <v>2924</v>
      </c>
      <c r="C435" s="4" t="s">
        <v>2838</v>
      </c>
      <c r="D435" s="36" t="s">
        <v>304</v>
      </c>
      <c r="E435" s="33" t="s">
        <v>2932</v>
      </c>
      <c r="F435" s="36" t="s">
        <v>2933</v>
      </c>
      <c r="G435" s="36" t="s">
        <v>2934</v>
      </c>
      <c r="H435" s="14"/>
      <c r="I435" s="14" t="s">
        <v>479</v>
      </c>
      <c r="J435" s="14" t="s">
        <v>2935</v>
      </c>
      <c r="K435" s="13" t="s">
        <v>2843</v>
      </c>
      <c r="L435" s="13" t="s">
        <v>2795</v>
      </c>
      <c r="M435" s="37">
        <v>46083.0</v>
      </c>
      <c r="N435" s="38">
        <v>46359.0</v>
      </c>
      <c r="O435" s="14" t="s">
        <v>2936</v>
      </c>
      <c r="P435" s="14" t="s">
        <v>2937</v>
      </c>
      <c r="Q435" s="12" t="s">
        <v>2938</v>
      </c>
    </row>
    <row r="436" ht="66.0" customHeight="1">
      <c r="A436" s="4" t="s">
        <v>2786</v>
      </c>
      <c r="B436" s="4" t="s">
        <v>2924</v>
      </c>
      <c r="C436" s="4" t="s">
        <v>2838</v>
      </c>
      <c r="D436" s="36" t="s">
        <v>304</v>
      </c>
      <c r="E436" s="33" t="s">
        <v>2939</v>
      </c>
      <c r="F436" s="36" t="s">
        <v>2940</v>
      </c>
      <c r="G436" s="36" t="s">
        <v>2941</v>
      </c>
      <c r="H436" s="14"/>
      <c r="I436" s="14" t="s">
        <v>1556</v>
      </c>
      <c r="J436" s="14" t="s">
        <v>2942</v>
      </c>
      <c r="K436" s="13" t="s">
        <v>2843</v>
      </c>
      <c r="L436" s="13" t="s">
        <v>2795</v>
      </c>
      <c r="M436" s="37">
        <v>46083.0</v>
      </c>
      <c r="N436" s="38">
        <v>46359.0</v>
      </c>
      <c r="O436" s="14" t="s">
        <v>2943</v>
      </c>
      <c r="P436" s="14" t="s">
        <v>2944</v>
      </c>
      <c r="Q436" s="12" t="s">
        <v>2945</v>
      </c>
    </row>
    <row r="437" ht="66.0" customHeight="1">
      <c r="A437" s="4" t="s">
        <v>2786</v>
      </c>
      <c r="B437" s="4" t="s">
        <v>2924</v>
      </c>
      <c r="C437" s="4" t="s">
        <v>2946</v>
      </c>
      <c r="D437" s="36" t="s">
        <v>304</v>
      </c>
      <c r="E437" s="33" t="s">
        <v>2947</v>
      </c>
      <c r="F437" s="36" t="s">
        <v>2948</v>
      </c>
      <c r="G437" s="36" t="s">
        <v>2949</v>
      </c>
      <c r="H437" s="14"/>
      <c r="I437" s="14" t="s">
        <v>2950</v>
      </c>
      <c r="J437" s="14" t="s">
        <v>2951</v>
      </c>
      <c r="K437" s="13" t="s">
        <v>2952</v>
      </c>
      <c r="L437" s="13" t="s">
        <v>2795</v>
      </c>
      <c r="M437" s="37">
        <v>45953.0</v>
      </c>
      <c r="N437" s="38">
        <v>46092.0</v>
      </c>
      <c r="O437" s="14" t="s">
        <v>2953</v>
      </c>
      <c r="P437" s="14" t="s">
        <v>2954</v>
      </c>
      <c r="Q437" s="12" t="s">
        <v>2955</v>
      </c>
    </row>
    <row r="438" ht="66.0" customHeight="1">
      <c r="A438" s="4" t="s">
        <v>2956</v>
      </c>
      <c r="B438" s="4" t="s">
        <v>2924</v>
      </c>
      <c r="C438" s="4" t="s">
        <v>2957</v>
      </c>
      <c r="D438" s="36" t="s">
        <v>20</v>
      </c>
      <c r="E438" s="33"/>
      <c r="F438" s="36" t="s">
        <v>2958</v>
      </c>
      <c r="G438" s="36" t="s">
        <v>2959</v>
      </c>
      <c r="H438" s="14"/>
      <c r="I438" s="14" t="s">
        <v>471</v>
      </c>
      <c r="J438" s="14" t="s">
        <v>2960</v>
      </c>
      <c r="K438" s="13" t="s">
        <v>2961</v>
      </c>
      <c r="L438" s="13" t="s">
        <v>2795</v>
      </c>
      <c r="M438" s="37">
        <v>45583.0</v>
      </c>
      <c r="N438" s="38">
        <v>45638.0</v>
      </c>
      <c r="O438" s="14" t="s">
        <v>2962</v>
      </c>
      <c r="P438" s="14" t="s">
        <v>2963</v>
      </c>
      <c r="Q438" s="12" t="s">
        <v>2964</v>
      </c>
    </row>
    <row r="439" ht="66.0" customHeight="1">
      <c r="A439" s="4" t="s">
        <v>2965</v>
      </c>
      <c r="B439" s="4" t="s">
        <v>2800</v>
      </c>
      <c r="C439" s="4"/>
      <c r="D439" s="36" t="s">
        <v>20</v>
      </c>
      <c r="E439" s="33"/>
      <c r="F439" s="36" t="s">
        <v>2966</v>
      </c>
      <c r="G439" s="36" t="s">
        <v>2967</v>
      </c>
      <c r="H439" s="14"/>
      <c r="I439" s="14" t="s">
        <v>812</v>
      </c>
      <c r="J439" s="14" t="s">
        <v>2968</v>
      </c>
      <c r="K439" s="13" t="s">
        <v>2969</v>
      </c>
      <c r="L439" s="13" t="s">
        <v>2795</v>
      </c>
      <c r="M439" s="37">
        <v>46071.0</v>
      </c>
      <c r="N439" s="38">
        <v>46159.0</v>
      </c>
      <c r="O439" s="14" t="s">
        <v>2970</v>
      </c>
      <c r="P439" s="14" t="s">
        <v>2971</v>
      </c>
      <c r="Q439" s="12" t="s">
        <v>2972</v>
      </c>
    </row>
    <row r="440" ht="66.0" customHeight="1">
      <c r="A440" s="4" t="s">
        <v>2786</v>
      </c>
      <c r="B440" s="4" t="s">
        <v>2924</v>
      </c>
      <c r="C440" s="4" t="s">
        <v>2838</v>
      </c>
      <c r="D440" s="36" t="s">
        <v>304</v>
      </c>
      <c r="E440" s="33" t="s">
        <v>2973</v>
      </c>
      <c r="F440" s="36" t="s">
        <v>2974</v>
      </c>
      <c r="G440" s="36" t="s">
        <v>2975</v>
      </c>
      <c r="H440" s="14"/>
      <c r="I440" s="14" t="s">
        <v>517</v>
      </c>
      <c r="J440" s="14" t="s">
        <v>2976</v>
      </c>
      <c r="K440" s="13" t="s">
        <v>2977</v>
      </c>
      <c r="L440" s="13" t="s">
        <v>2795</v>
      </c>
      <c r="M440" s="37">
        <v>46156.0</v>
      </c>
      <c r="N440" s="38">
        <v>46275.0</v>
      </c>
      <c r="O440" s="14" t="s">
        <v>2978</v>
      </c>
      <c r="P440" s="14" t="s">
        <v>2979</v>
      </c>
      <c r="Q440" s="12" t="s">
        <v>2980</v>
      </c>
    </row>
    <row r="441" ht="66.0" customHeight="1">
      <c r="A441" s="4" t="s">
        <v>2786</v>
      </c>
      <c r="B441" s="4" t="s">
        <v>2787</v>
      </c>
      <c r="C441" s="4" t="s">
        <v>2981</v>
      </c>
      <c r="D441" s="36" t="s">
        <v>2789</v>
      </c>
      <c r="E441" s="33" t="s">
        <v>2982</v>
      </c>
      <c r="F441" s="36" t="s">
        <v>2983</v>
      </c>
      <c r="G441" s="36" t="s">
        <v>2984</v>
      </c>
      <c r="H441" s="14"/>
      <c r="I441" s="14"/>
      <c r="J441" s="14" t="s">
        <v>2985</v>
      </c>
      <c r="K441" s="13" t="s">
        <v>2986</v>
      </c>
      <c r="L441" s="13" t="s">
        <v>2795</v>
      </c>
      <c r="M441" s="37">
        <v>46007.0</v>
      </c>
      <c r="N441" s="38">
        <v>46120.0</v>
      </c>
      <c r="O441" s="14" t="s">
        <v>2987</v>
      </c>
      <c r="P441" s="14" t="s">
        <v>2988</v>
      </c>
      <c r="Q441" s="12" t="s">
        <v>2989</v>
      </c>
    </row>
    <row r="442" ht="66.0" customHeight="1">
      <c r="A442" s="4" t="s">
        <v>2786</v>
      </c>
      <c r="B442" s="4" t="s">
        <v>2924</v>
      </c>
      <c r="C442" s="4" t="s">
        <v>2990</v>
      </c>
      <c r="D442" s="36" t="s">
        <v>304</v>
      </c>
      <c r="E442" s="33" t="s">
        <v>2991</v>
      </c>
      <c r="F442" s="36" t="s">
        <v>2992</v>
      </c>
      <c r="G442" s="36" t="s">
        <v>2993</v>
      </c>
      <c r="H442" s="14"/>
      <c r="I442" s="14" t="s">
        <v>2994</v>
      </c>
      <c r="J442" s="14" t="s">
        <v>2995</v>
      </c>
      <c r="K442" s="13" t="s">
        <v>2996</v>
      </c>
      <c r="L442" s="13" t="s">
        <v>2795</v>
      </c>
      <c r="M442" s="37">
        <v>46001.0</v>
      </c>
      <c r="N442" s="38">
        <v>46084.0</v>
      </c>
      <c r="O442" s="14" t="s">
        <v>2997</v>
      </c>
      <c r="P442" s="14" t="s">
        <v>2998</v>
      </c>
      <c r="Q442" s="12" t="s">
        <v>2999</v>
      </c>
    </row>
    <row r="443" ht="66.0" customHeight="1">
      <c r="A443" s="4" t="s">
        <v>2786</v>
      </c>
      <c r="B443" s="4" t="s">
        <v>2924</v>
      </c>
      <c r="C443" s="4" t="s">
        <v>3000</v>
      </c>
      <c r="D443" s="36" t="s">
        <v>20</v>
      </c>
      <c r="E443" s="33" t="s">
        <v>3001</v>
      </c>
      <c r="F443" s="36" t="s">
        <v>3002</v>
      </c>
      <c r="G443" s="36" t="s">
        <v>3003</v>
      </c>
      <c r="H443" s="14"/>
      <c r="I443" s="14" t="s">
        <v>965</v>
      </c>
      <c r="J443" s="14" t="s">
        <v>3004</v>
      </c>
      <c r="K443" s="13" t="s">
        <v>3005</v>
      </c>
      <c r="L443" s="13" t="s">
        <v>2795</v>
      </c>
      <c r="M443" s="37">
        <v>45964.0</v>
      </c>
      <c r="N443" s="38">
        <v>46084.0</v>
      </c>
      <c r="O443" s="14" t="s">
        <v>3006</v>
      </c>
      <c r="P443" s="14" t="s">
        <v>3007</v>
      </c>
      <c r="Q443" s="12" t="s">
        <v>3008</v>
      </c>
    </row>
    <row r="444" ht="66.0" customHeight="1">
      <c r="A444" s="4" t="s">
        <v>2786</v>
      </c>
      <c r="B444" s="4" t="s">
        <v>2924</v>
      </c>
      <c r="C444" s="4" t="s">
        <v>3009</v>
      </c>
      <c r="D444" s="36" t="s">
        <v>304</v>
      </c>
      <c r="E444" s="33" t="s">
        <v>3010</v>
      </c>
      <c r="F444" s="36" t="s">
        <v>3011</v>
      </c>
      <c r="G444" s="36" t="s">
        <v>3012</v>
      </c>
      <c r="H444" s="14"/>
      <c r="I444" s="14" t="s">
        <v>3013</v>
      </c>
      <c r="J444" s="14" t="s">
        <v>3014</v>
      </c>
      <c r="K444" s="13" t="s">
        <v>3015</v>
      </c>
      <c r="L444" s="13" t="s">
        <v>2795</v>
      </c>
      <c r="M444" s="37">
        <v>45749.0</v>
      </c>
      <c r="N444" s="38" t="s">
        <v>3016</v>
      </c>
      <c r="O444" s="14" t="s">
        <v>3017</v>
      </c>
      <c r="P444" s="14" t="s">
        <v>3018</v>
      </c>
      <c r="Q444" s="12" t="s">
        <v>3019</v>
      </c>
    </row>
    <row r="445" ht="66.0" customHeight="1">
      <c r="A445" s="4" t="s">
        <v>3020</v>
      </c>
      <c r="B445" s="4" t="s">
        <v>2924</v>
      </c>
      <c r="C445" s="4" t="s">
        <v>3021</v>
      </c>
      <c r="D445" s="36" t="s">
        <v>1498</v>
      </c>
      <c r="E445" s="33" t="s">
        <v>3022</v>
      </c>
      <c r="F445" s="36" t="s">
        <v>3023</v>
      </c>
      <c r="G445" s="36" t="s">
        <v>3024</v>
      </c>
      <c r="H445" s="14"/>
      <c r="I445" s="14" t="s">
        <v>1571</v>
      </c>
      <c r="J445" s="14" t="s">
        <v>3025</v>
      </c>
      <c r="K445" s="13" t="s">
        <v>3026</v>
      </c>
      <c r="L445" s="13" t="s">
        <v>2795</v>
      </c>
      <c r="M445" s="37">
        <v>45669.0</v>
      </c>
      <c r="N445" s="38">
        <v>45792.0</v>
      </c>
      <c r="O445" s="14" t="s">
        <v>3027</v>
      </c>
      <c r="P445" s="14" t="s">
        <v>3028</v>
      </c>
      <c r="Q445" s="12" t="s">
        <v>3029</v>
      </c>
    </row>
    <row r="446" ht="66.0" customHeight="1">
      <c r="A446" s="4" t="s">
        <v>2786</v>
      </c>
      <c r="B446" s="4" t="s">
        <v>2787</v>
      </c>
      <c r="C446" s="4" t="s">
        <v>2788</v>
      </c>
      <c r="D446" s="36" t="s">
        <v>2789</v>
      </c>
      <c r="E446" s="33" t="s">
        <v>3030</v>
      </c>
      <c r="F446" s="36" t="s">
        <v>3031</v>
      </c>
      <c r="G446" s="36" t="s">
        <v>3032</v>
      </c>
      <c r="H446" s="14"/>
      <c r="I446" s="14"/>
      <c r="J446" s="14" t="s">
        <v>3033</v>
      </c>
      <c r="K446" s="13" t="s">
        <v>3034</v>
      </c>
      <c r="L446" s="13" t="s">
        <v>2795</v>
      </c>
      <c r="M446" s="37">
        <v>46027.0</v>
      </c>
      <c r="N446" s="38">
        <v>46134.0</v>
      </c>
      <c r="O446" s="14" t="s">
        <v>3035</v>
      </c>
      <c r="P446" s="14" t="s">
        <v>3036</v>
      </c>
      <c r="Q446" s="12" t="s">
        <v>3037</v>
      </c>
    </row>
    <row r="447" ht="66.0" customHeight="1">
      <c r="A447" s="4" t="s">
        <v>2786</v>
      </c>
      <c r="B447" s="4" t="s">
        <v>2924</v>
      </c>
      <c r="C447" s="4" t="s">
        <v>3038</v>
      </c>
      <c r="D447" s="36" t="s">
        <v>304</v>
      </c>
      <c r="E447" s="33" t="s">
        <v>3039</v>
      </c>
      <c r="F447" s="36" t="s">
        <v>3040</v>
      </c>
      <c r="G447" s="36" t="s">
        <v>3041</v>
      </c>
      <c r="H447" s="14"/>
      <c r="I447" s="14" t="s">
        <v>3042</v>
      </c>
      <c r="J447" s="14" t="s">
        <v>3043</v>
      </c>
      <c r="K447" s="13" t="s">
        <v>2952</v>
      </c>
      <c r="L447" s="13" t="s">
        <v>2795</v>
      </c>
      <c r="M447" s="37">
        <v>46086.0</v>
      </c>
      <c r="N447" s="38">
        <v>46147.0</v>
      </c>
      <c r="O447" s="14" t="s">
        <v>3044</v>
      </c>
      <c r="P447" s="14" t="s">
        <v>3045</v>
      </c>
      <c r="Q447" s="12" t="s">
        <v>3046</v>
      </c>
    </row>
    <row r="448" ht="66.0" customHeight="1">
      <c r="A448" s="4" t="s">
        <v>2786</v>
      </c>
      <c r="B448" s="4" t="s">
        <v>2924</v>
      </c>
      <c r="C448" s="4" t="s">
        <v>3047</v>
      </c>
      <c r="D448" s="36" t="s">
        <v>304</v>
      </c>
      <c r="E448" s="33" t="s">
        <v>3048</v>
      </c>
      <c r="F448" s="36" t="s">
        <v>3049</v>
      </c>
      <c r="G448" s="36" t="s">
        <v>3050</v>
      </c>
      <c r="H448" s="14"/>
      <c r="I448" s="14" t="s">
        <v>2950</v>
      </c>
      <c r="J448" s="14" t="s">
        <v>3051</v>
      </c>
      <c r="K448" s="13" t="s">
        <v>2952</v>
      </c>
      <c r="L448" s="13" t="s">
        <v>2795</v>
      </c>
      <c r="M448" s="37">
        <v>45925.0</v>
      </c>
      <c r="N448" s="38">
        <v>46128.0</v>
      </c>
      <c r="O448" s="14" t="s">
        <v>3052</v>
      </c>
      <c r="P448" s="14" t="s">
        <v>3053</v>
      </c>
      <c r="Q448" s="12" t="s">
        <v>3054</v>
      </c>
    </row>
    <row r="449" ht="66.0" customHeight="1">
      <c r="A449" s="4" t="s">
        <v>2786</v>
      </c>
      <c r="B449" s="4" t="s">
        <v>2924</v>
      </c>
      <c r="C449" s="4" t="s">
        <v>3038</v>
      </c>
      <c r="D449" s="36" t="s">
        <v>304</v>
      </c>
      <c r="E449" s="33" t="s">
        <v>3055</v>
      </c>
      <c r="F449" s="36" t="s">
        <v>3056</v>
      </c>
      <c r="G449" s="36" t="s">
        <v>3057</v>
      </c>
      <c r="H449" s="14"/>
      <c r="I449" s="14" t="s">
        <v>3042</v>
      </c>
      <c r="J449" s="14" t="s">
        <v>3058</v>
      </c>
      <c r="K449" s="13" t="s">
        <v>2952</v>
      </c>
      <c r="L449" s="13" t="s">
        <v>2795</v>
      </c>
      <c r="M449" s="37">
        <v>46086.0</v>
      </c>
      <c r="N449" s="38">
        <v>46147.0</v>
      </c>
      <c r="O449" s="14" t="s">
        <v>3059</v>
      </c>
      <c r="P449" s="14" t="s">
        <v>3060</v>
      </c>
      <c r="Q449" s="12" t="s">
        <v>3061</v>
      </c>
    </row>
    <row r="450" ht="66.0" customHeight="1">
      <c r="A450" s="4" t="s">
        <v>2786</v>
      </c>
      <c r="B450" s="4" t="s">
        <v>2924</v>
      </c>
      <c r="C450" s="4" t="s">
        <v>3047</v>
      </c>
      <c r="D450" s="36" t="s">
        <v>304</v>
      </c>
      <c r="E450" s="33" t="s">
        <v>3062</v>
      </c>
      <c r="F450" s="36" t="s">
        <v>3063</v>
      </c>
      <c r="G450" s="36" t="s">
        <v>3064</v>
      </c>
      <c r="H450" s="14"/>
      <c r="I450" s="14" t="s">
        <v>3042</v>
      </c>
      <c r="J450" s="14" t="s">
        <v>3065</v>
      </c>
      <c r="K450" s="13" t="s">
        <v>2952</v>
      </c>
      <c r="L450" s="13" t="s">
        <v>2795</v>
      </c>
      <c r="M450" s="37">
        <v>45931.0</v>
      </c>
      <c r="N450" s="38">
        <v>46107.0</v>
      </c>
      <c r="O450" s="14" t="s">
        <v>3066</v>
      </c>
      <c r="P450" s="14" t="s">
        <v>3067</v>
      </c>
      <c r="Q450" s="12" t="s">
        <v>3068</v>
      </c>
    </row>
    <row r="451" ht="66.0" customHeight="1">
      <c r="A451" s="4" t="s">
        <v>2786</v>
      </c>
      <c r="B451" s="4" t="s">
        <v>2924</v>
      </c>
      <c r="C451" s="4" t="s">
        <v>3047</v>
      </c>
      <c r="D451" s="36" t="s">
        <v>304</v>
      </c>
      <c r="E451" s="33" t="s">
        <v>3069</v>
      </c>
      <c r="F451" s="36" t="s">
        <v>3070</v>
      </c>
      <c r="G451" s="36" t="s">
        <v>3071</v>
      </c>
      <c r="H451" s="14"/>
      <c r="I451" s="14" t="s">
        <v>562</v>
      </c>
      <c r="J451" s="14" t="s">
        <v>3072</v>
      </c>
      <c r="K451" s="13" t="s">
        <v>2952</v>
      </c>
      <c r="L451" s="13" t="s">
        <v>2795</v>
      </c>
      <c r="M451" s="37">
        <v>46001.0</v>
      </c>
      <c r="N451" s="38">
        <v>46136.0</v>
      </c>
      <c r="O451" s="14" t="s">
        <v>3073</v>
      </c>
      <c r="P451" s="14" t="s">
        <v>3074</v>
      </c>
      <c r="Q451" s="12" t="s">
        <v>3075</v>
      </c>
    </row>
    <row r="452" ht="66.0" customHeight="1">
      <c r="A452" s="4" t="s">
        <v>2786</v>
      </c>
      <c r="B452" s="4" t="s">
        <v>2924</v>
      </c>
      <c r="C452" s="4" t="s">
        <v>3076</v>
      </c>
      <c r="D452" s="36" t="s">
        <v>304</v>
      </c>
      <c r="E452" s="33" t="s">
        <v>3077</v>
      </c>
      <c r="F452" s="36" t="s">
        <v>3078</v>
      </c>
      <c r="G452" s="36" t="s">
        <v>3079</v>
      </c>
      <c r="H452" s="14"/>
      <c r="I452" s="14" t="s">
        <v>3080</v>
      </c>
      <c r="J452" s="14" t="s">
        <v>3081</v>
      </c>
      <c r="K452" s="13" t="s">
        <v>2952</v>
      </c>
      <c r="L452" s="13" t="s">
        <v>2795</v>
      </c>
      <c r="M452" s="37">
        <v>45930.0</v>
      </c>
      <c r="N452" s="38" t="s">
        <v>3082</v>
      </c>
      <c r="O452" s="14" t="s">
        <v>3083</v>
      </c>
      <c r="P452" s="14" t="s">
        <v>3084</v>
      </c>
      <c r="Q452" s="12" t="s">
        <v>3085</v>
      </c>
    </row>
    <row r="453" ht="66.0" customHeight="1">
      <c r="A453" s="4" t="s">
        <v>2786</v>
      </c>
      <c r="B453" s="4" t="s">
        <v>2924</v>
      </c>
      <c r="C453" s="4" t="s">
        <v>3076</v>
      </c>
      <c r="D453" s="36" t="s">
        <v>304</v>
      </c>
      <c r="E453" s="33" t="s">
        <v>3086</v>
      </c>
      <c r="F453" s="36" t="s">
        <v>3087</v>
      </c>
      <c r="G453" s="36" t="s">
        <v>3088</v>
      </c>
      <c r="H453" s="14"/>
      <c r="I453" s="14" t="s">
        <v>3080</v>
      </c>
      <c r="J453" s="14" t="s">
        <v>3089</v>
      </c>
      <c r="K453" s="13" t="s">
        <v>2952</v>
      </c>
      <c r="L453" s="13" t="s">
        <v>2795</v>
      </c>
      <c r="M453" s="37">
        <v>45930.0</v>
      </c>
      <c r="N453" s="38">
        <v>46149.0</v>
      </c>
      <c r="O453" s="14" t="s">
        <v>3090</v>
      </c>
      <c r="P453" s="14" t="s">
        <v>3091</v>
      </c>
      <c r="Q453" s="12" t="s">
        <v>3092</v>
      </c>
    </row>
    <row r="454" ht="66.0" customHeight="1">
      <c r="A454" s="4" t="s">
        <v>2786</v>
      </c>
      <c r="B454" s="4" t="s">
        <v>2924</v>
      </c>
      <c r="C454" s="4" t="s">
        <v>3076</v>
      </c>
      <c r="D454" s="36" t="s">
        <v>304</v>
      </c>
      <c r="E454" s="33" t="s">
        <v>3093</v>
      </c>
      <c r="F454" s="36" t="s">
        <v>3094</v>
      </c>
      <c r="G454" s="36" t="s">
        <v>3095</v>
      </c>
      <c r="H454" s="14"/>
      <c r="I454" s="14" t="s">
        <v>3080</v>
      </c>
      <c r="J454" s="14" t="s">
        <v>3096</v>
      </c>
      <c r="K454" s="13" t="s">
        <v>2952</v>
      </c>
      <c r="L454" s="13" t="s">
        <v>2795</v>
      </c>
      <c r="M454" s="37">
        <v>45930.0</v>
      </c>
      <c r="N454" s="38">
        <v>46149.0</v>
      </c>
      <c r="O454" s="14" t="s">
        <v>3097</v>
      </c>
      <c r="P454" s="14" t="s">
        <v>3098</v>
      </c>
      <c r="Q454" s="12" t="s">
        <v>3099</v>
      </c>
    </row>
    <row r="455" ht="66.0" customHeight="1">
      <c r="A455" s="4" t="s">
        <v>2786</v>
      </c>
      <c r="B455" s="4" t="s">
        <v>2924</v>
      </c>
      <c r="C455" s="4" t="s">
        <v>3076</v>
      </c>
      <c r="D455" s="36" t="s">
        <v>304</v>
      </c>
      <c r="E455" s="33" t="s">
        <v>3100</v>
      </c>
      <c r="F455" s="36" t="s">
        <v>3101</v>
      </c>
      <c r="G455" s="36" t="s">
        <v>3102</v>
      </c>
      <c r="H455" s="14"/>
      <c r="I455" s="14" t="s">
        <v>3080</v>
      </c>
      <c r="J455" s="14" t="s">
        <v>3103</v>
      </c>
      <c r="K455" s="13" t="s">
        <v>2952</v>
      </c>
      <c r="L455" s="13" t="s">
        <v>2795</v>
      </c>
      <c r="M455" s="37">
        <v>45930.0</v>
      </c>
      <c r="N455" s="38">
        <v>46149.0</v>
      </c>
      <c r="O455" s="14" t="s">
        <v>3104</v>
      </c>
      <c r="P455" s="14" t="s">
        <v>3105</v>
      </c>
      <c r="Q455" s="12" t="s">
        <v>3106</v>
      </c>
    </row>
    <row r="456" ht="66.0" customHeight="1">
      <c r="A456" s="4" t="s">
        <v>2786</v>
      </c>
      <c r="B456" s="4" t="s">
        <v>2924</v>
      </c>
      <c r="C456" s="4" t="s">
        <v>3107</v>
      </c>
      <c r="D456" s="36" t="s">
        <v>704</v>
      </c>
      <c r="E456" s="33" t="s">
        <v>3108</v>
      </c>
      <c r="F456" s="36" t="s">
        <v>3109</v>
      </c>
      <c r="G456" s="36" t="s">
        <v>3110</v>
      </c>
      <c r="H456" s="14"/>
      <c r="I456" s="14" t="s">
        <v>965</v>
      </c>
      <c r="J456" s="14" t="s">
        <v>3111</v>
      </c>
      <c r="K456" s="13" t="s">
        <v>3005</v>
      </c>
      <c r="L456" s="13" t="s">
        <v>2795</v>
      </c>
      <c r="M456" s="37">
        <v>46007.0</v>
      </c>
      <c r="N456" s="38">
        <v>46170.0</v>
      </c>
      <c r="O456" s="14" t="s">
        <v>3112</v>
      </c>
      <c r="P456" s="14" t="s">
        <v>3113</v>
      </c>
      <c r="Q456" s="12" t="s">
        <v>3114</v>
      </c>
    </row>
    <row r="457" ht="66.0" customHeight="1">
      <c r="A457" s="4" t="s">
        <v>2786</v>
      </c>
      <c r="B457" s="4" t="s">
        <v>2924</v>
      </c>
      <c r="C457" s="4" t="s">
        <v>3107</v>
      </c>
      <c r="D457" s="36" t="s">
        <v>704</v>
      </c>
      <c r="E457" s="33" t="s">
        <v>3115</v>
      </c>
      <c r="F457" s="36" t="s">
        <v>3116</v>
      </c>
      <c r="G457" s="36" t="s">
        <v>3117</v>
      </c>
      <c r="H457" s="14"/>
      <c r="I457" s="14" t="s">
        <v>965</v>
      </c>
      <c r="J457" s="14" t="s">
        <v>3118</v>
      </c>
      <c r="K457" s="13" t="s">
        <v>3005</v>
      </c>
      <c r="L457" s="13" t="s">
        <v>2795</v>
      </c>
      <c r="M457" s="37">
        <v>46007.0</v>
      </c>
      <c r="N457" s="38">
        <v>46170.0</v>
      </c>
      <c r="O457" s="14" t="s">
        <v>3119</v>
      </c>
      <c r="P457" s="14" t="s">
        <v>3120</v>
      </c>
      <c r="Q457" s="12" t="s">
        <v>3121</v>
      </c>
    </row>
    <row r="458" ht="66.0" customHeight="1">
      <c r="A458" s="4" t="s">
        <v>2786</v>
      </c>
      <c r="B458" s="4" t="s">
        <v>2924</v>
      </c>
      <c r="C458" s="4" t="s">
        <v>3122</v>
      </c>
      <c r="D458" s="36" t="s">
        <v>32</v>
      </c>
      <c r="E458" s="33" t="s">
        <v>3123</v>
      </c>
      <c r="F458" s="36" t="s">
        <v>3124</v>
      </c>
      <c r="G458" s="36" t="s">
        <v>3125</v>
      </c>
      <c r="H458" s="14"/>
      <c r="I458" s="14" t="s">
        <v>3126</v>
      </c>
      <c r="J458" s="14" t="s">
        <v>3127</v>
      </c>
      <c r="K458" s="13" t="s">
        <v>3005</v>
      </c>
      <c r="L458" s="13" t="s">
        <v>2795</v>
      </c>
      <c r="M458" s="37">
        <v>45931.0</v>
      </c>
      <c r="N458" s="38">
        <v>46084.0</v>
      </c>
      <c r="O458" s="14" t="s">
        <v>3128</v>
      </c>
      <c r="P458" s="14" t="s">
        <v>3129</v>
      </c>
      <c r="Q458" s="12" t="s">
        <v>3130</v>
      </c>
    </row>
    <row r="459" ht="66.0" customHeight="1">
      <c r="A459" s="4" t="s">
        <v>2786</v>
      </c>
      <c r="B459" s="4" t="s">
        <v>2924</v>
      </c>
      <c r="C459" s="4" t="s">
        <v>3122</v>
      </c>
      <c r="D459" s="36" t="s">
        <v>32</v>
      </c>
      <c r="E459" s="33" t="s">
        <v>3131</v>
      </c>
      <c r="F459" s="36" t="s">
        <v>3132</v>
      </c>
      <c r="G459" s="36" t="s">
        <v>3133</v>
      </c>
      <c r="H459" s="14"/>
      <c r="I459" s="14" t="s">
        <v>3126</v>
      </c>
      <c r="J459" s="14" t="s">
        <v>3134</v>
      </c>
      <c r="K459" s="13" t="s">
        <v>3005</v>
      </c>
      <c r="L459" s="13" t="s">
        <v>2795</v>
      </c>
      <c r="M459" s="37">
        <v>45931.0</v>
      </c>
      <c r="N459" s="38">
        <v>46084.0</v>
      </c>
      <c r="O459" s="14" t="s">
        <v>3135</v>
      </c>
      <c r="P459" s="14" t="s">
        <v>3136</v>
      </c>
      <c r="Q459" s="12" t="s">
        <v>3137</v>
      </c>
    </row>
    <row r="460" ht="66.0" customHeight="1">
      <c r="A460" s="4" t="s">
        <v>2786</v>
      </c>
      <c r="B460" s="4" t="s">
        <v>2924</v>
      </c>
      <c r="C460" s="4" t="s">
        <v>3122</v>
      </c>
      <c r="D460" s="36" t="s">
        <v>32</v>
      </c>
      <c r="E460" s="33" t="s">
        <v>3138</v>
      </c>
      <c r="F460" s="36" t="s">
        <v>3139</v>
      </c>
      <c r="G460" s="36" t="s">
        <v>3140</v>
      </c>
      <c r="H460" s="14"/>
      <c r="I460" s="14" t="s">
        <v>3126</v>
      </c>
      <c r="J460" s="14" t="s">
        <v>3141</v>
      </c>
      <c r="K460" s="13" t="s">
        <v>3005</v>
      </c>
      <c r="L460" s="13" t="s">
        <v>2795</v>
      </c>
      <c r="M460" s="37">
        <v>45931.0</v>
      </c>
      <c r="N460" s="38">
        <v>46084.0</v>
      </c>
      <c r="O460" s="14" t="s">
        <v>3142</v>
      </c>
      <c r="P460" s="14" t="s">
        <v>3143</v>
      </c>
      <c r="Q460" s="12" t="s">
        <v>3144</v>
      </c>
    </row>
    <row r="461" ht="66.0" customHeight="1">
      <c r="A461" s="4" t="s">
        <v>2786</v>
      </c>
      <c r="B461" s="4" t="s">
        <v>2924</v>
      </c>
      <c r="C461" s="4" t="s">
        <v>3107</v>
      </c>
      <c r="D461" s="36" t="s">
        <v>704</v>
      </c>
      <c r="E461" s="33" t="s">
        <v>3145</v>
      </c>
      <c r="F461" s="36" t="s">
        <v>3146</v>
      </c>
      <c r="G461" s="36" t="s">
        <v>3147</v>
      </c>
      <c r="H461" s="14"/>
      <c r="I461" s="14" t="s">
        <v>965</v>
      </c>
      <c r="J461" s="14" t="s">
        <v>3148</v>
      </c>
      <c r="K461" s="13" t="s">
        <v>3005</v>
      </c>
      <c r="L461" s="13" t="s">
        <v>2795</v>
      </c>
      <c r="M461" s="37">
        <v>45958.0</v>
      </c>
      <c r="N461" s="38">
        <v>46112.0</v>
      </c>
      <c r="O461" s="14" t="s">
        <v>3149</v>
      </c>
      <c r="P461" s="14" t="s">
        <v>3150</v>
      </c>
      <c r="Q461" s="12" t="s">
        <v>3151</v>
      </c>
    </row>
    <row r="462" ht="66.0" customHeight="1">
      <c r="A462" s="4" t="s">
        <v>2786</v>
      </c>
      <c r="B462" s="4" t="s">
        <v>2924</v>
      </c>
      <c r="C462" s="4" t="s">
        <v>3152</v>
      </c>
      <c r="D462" s="36" t="s">
        <v>304</v>
      </c>
      <c r="E462" s="33" t="s">
        <v>3153</v>
      </c>
      <c r="F462" s="36" t="s">
        <v>3154</v>
      </c>
      <c r="G462" s="36" t="s">
        <v>3155</v>
      </c>
      <c r="H462" s="14"/>
      <c r="I462" s="14" t="s">
        <v>2994</v>
      </c>
      <c r="J462" s="14" t="s">
        <v>3156</v>
      </c>
      <c r="K462" s="13" t="s">
        <v>2996</v>
      </c>
      <c r="L462" s="13" t="s">
        <v>2795</v>
      </c>
      <c r="M462" s="37">
        <v>46001.0</v>
      </c>
      <c r="N462" s="38">
        <v>46134.0</v>
      </c>
      <c r="O462" s="14" t="s">
        <v>3157</v>
      </c>
      <c r="P462" s="14" t="s">
        <v>3158</v>
      </c>
      <c r="Q462" s="12" t="s">
        <v>3159</v>
      </c>
    </row>
    <row r="463" ht="66.0" customHeight="1">
      <c r="A463" s="4" t="s">
        <v>2786</v>
      </c>
      <c r="B463" s="4" t="s">
        <v>2787</v>
      </c>
      <c r="C463" s="4" t="s">
        <v>2981</v>
      </c>
      <c r="D463" s="36" t="s">
        <v>2789</v>
      </c>
      <c r="E463" s="33" t="s">
        <v>3160</v>
      </c>
      <c r="F463" s="36" t="s">
        <v>3161</v>
      </c>
      <c r="G463" s="36" t="s">
        <v>3162</v>
      </c>
      <c r="H463" s="14"/>
      <c r="I463" s="14"/>
      <c r="J463" s="14" t="s">
        <v>3163</v>
      </c>
      <c r="K463" s="13" t="s">
        <v>3164</v>
      </c>
      <c r="L463" s="13" t="s">
        <v>2795</v>
      </c>
      <c r="M463" s="37">
        <v>45847.0</v>
      </c>
      <c r="N463" s="38">
        <v>45944.0</v>
      </c>
      <c r="O463" s="14" t="s">
        <v>3165</v>
      </c>
      <c r="P463" s="14" t="s">
        <v>3166</v>
      </c>
      <c r="Q463" s="12" t="s">
        <v>3167</v>
      </c>
    </row>
    <row r="464" ht="66.0" customHeight="1">
      <c r="A464" s="4" t="s">
        <v>2786</v>
      </c>
      <c r="B464" s="4" t="s">
        <v>2787</v>
      </c>
      <c r="C464" s="4" t="s">
        <v>2981</v>
      </c>
      <c r="D464" s="36" t="s">
        <v>2789</v>
      </c>
      <c r="E464" s="33" t="s">
        <v>3168</v>
      </c>
      <c r="F464" s="36" t="s">
        <v>3169</v>
      </c>
      <c r="G464" s="36" t="s">
        <v>3170</v>
      </c>
      <c r="H464" s="14"/>
      <c r="I464" s="14"/>
      <c r="J464" s="14" t="s">
        <v>3171</v>
      </c>
      <c r="K464" s="13" t="s">
        <v>3172</v>
      </c>
      <c r="L464" s="13" t="s">
        <v>2795</v>
      </c>
      <c r="M464" s="37">
        <v>45925.0</v>
      </c>
      <c r="N464" s="38">
        <v>46035.0</v>
      </c>
      <c r="O464" s="14" t="s">
        <v>3173</v>
      </c>
      <c r="P464" s="14" t="s">
        <v>3174</v>
      </c>
      <c r="Q464" s="12" t="s">
        <v>3175</v>
      </c>
    </row>
    <row r="465" ht="66.0" customHeight="1">
      <c r="A465" s="4" t="s">
        <v>2786</v>
      </c>
      <c r="B465" s="4" t="s">
        <v>2787</v>
      </c>
      <c r="C465" s="4" t="s">
        <v>2981</v>
      </c>
      <c r="D465" s="36" t="s">
        <v>2789</v>
      </c>
      <c r="E465" s="33" t="s">
        <v>3176</v>
      </c>
      <c r="F465" s="36" t="s">
        <v>3177</v>
      </c>
      <c r="G465" s="36" t="s">
        <v>3178</v>
      </c>
      <c r="H465" s="14"/>
      <c r="I465" s="14"/>
      <c r="J465" s="14" t="s">
        <v>3179</v>
      </c>
      <c r="K465" s="13" t="s">
        <v>3180</v>
      </c>
      <c r="L465" s="13" t="s">
        <v>2795</v>
      </c>
      <c r="M465" s="37">
        <v>45848.0</v>
      </c>
      <c r="N465" s="38">
        <v>45966.0</v>
      </c>
      <c r="O465" s="14" t="s">
        <v>3181</v>
      </c>
      <c r="P465" s="14" t="s">
        <v>3182</v>
      </c>
      <c r="Q465" s="12" t="s">
        <v>3183</v>
      </c>
    </row>
    <row r="466" ht="66.0" customHeight="1">
      <c r="A466" s="4" t="s">
        <v>2786</v>
      </c>
      <c r="B466" s="4" t="s">
        <v>2924</v>
      </c>
      <c r="C466" s="4" t="s">
        <v>3122</v>
      </c>
      <c r="D466" s="36" t="s">
        <v>20</v>
      </c>
      <c r="E466" s="33" t="s">
        <v>3184</v>
      </c>
      <c r="F466" s="36" t="s">
        <v>3185</v>
      </c>
      <c r="G466" s="36" t="s">
        <v>3186</v>
      </c>
      <c r="H466" s="14"/>
      <c r="I466" s="14" t="s">
        <v>965</v>
      </c>
      <c r="J466" s="14" t="s">
        <v>3187</v>
      </c>
      <c r="K466" s="13" t="s">
        <v>3005</v>
      </c>
      <c r="L466" s="13" t="s">
        <v>2795</v>
      </c>
      <c r="M466" s="37">
        <v>45965.0</v>
      </c>
      <c r="N466" s="38">
        <v>46084.0</v>
      </c>
      <c r="O466" s="14" t="s">
        <v>3188</v>
      </c>
      <c r="P466" s="14" t="s">
        <v>3189</v>
      </c>
      <c r="Q466" s="12" t="s">
        <v>3190</v>
      </c>
    </row>
    <row r="467" ht="66.0" customHeight="1">
      <c r="A467" s="4" t="s">
        <v>2786</v>
      </c>
      <c r="B467" s="4" t="s">
        <v>2924</v>
      </c>
      <c r="C467" s="4" t="s">
        <v>3152</v>
      </c>
      <c r="D467" s="36" t="s">
        <v>304</v>
      </c>
      <c r="E467" s="33" t="s">
        <v>3191</v>
      </c>
      <c r="F467" s="36" t="s">
        <v>3154</v>
      </c>
      <c r="G467" s="36" t="s">
        <v>3192</v>
      </c>
      <c r="H467" s="14"/>
      <c r="I467" s="14" t="s">
        <v>2994</v>
      </c>
      <c r="J467" s="14" t="s">
        <v>3156</v>
      </c>
      <c r="K467" s="13" t="s">
        <v>2996</v>
      </c>
      <c r="L467" s="13" t="s">
        <v>2795</v>
      </c>
      <c r="M467" s="37">
        <v>45637.0</v>
      </c>
      <c r="N467" s="38">
        <v>45770.0</v>
      </c>
      <c r="O467" s="14" t="s">
        <v>3193</v>
      </c>
      <c r="P467" s="14" t="s">
        <v>3194</v>
      </c>
      <c r="Q467" s="12" t="s">
        <v>3195</v>
      </c>
    </row>
    <row r="468" ht="66.0" customHeight="1">
      <c r="A468" s="4" t="s">
        <v>3196</v>
      </c>
      <c r="B468" s="4" t="s">
        <v>2800</v>
      </c>
      <c r="C468" s="4"/>
      <c r="D468" s="36" t="s">
        <v>304</v>
      </c>
      <c r="E468" s="33"/>
      <c r="F468" s="36" t="s">
        <v>3197</v>
      </c>
      <c r="G468" s="36" t="s">
        <v>3198</v>
      </c>
      <c r="H468" s="14"/>
      <c r="I468" s="14" t="s">
        <v>37</v>
      </c>
      <c r="J468" s="14" t="s">
        <v>3199</v>
      </c>
      <c r="K468" s="13" t="s">
        <v>3200</v>
      </c>
      <c r="L468" s="13" t="s">
        <v>2892</v>
      </c>
      <c r="M468" s="37">
        <v>45992.0</v>
      </c>
      <c r="N468" s="38">
        <v>46077.0</v>
      </c>
      <c r="O468" s="14" t="s">
        <v>3201</v>
      </c>
      <c r="P468" s="14" t="s">
        <v>3202</v>
      </c>
      <c r="Q468" s="12" t="s">
        <v>3203</v>
      </c>
    </row>
    <row r="469" ht="66.0" customHeight="1">
      <c r="A469" s="4" t="s">
        <v>3204</v>
      </c>
      <c r="B469" s="4" t="s">
        <v>2800</v>
      </c>
      <c r="C469" s="4"/>
      <c r="D469" s="36" t="s">
        <v>2789</v>
      </c>
      <c r="E469" s="33"/>
      <c r="F469" s="36" t="s">
        <v>3205</v>
      </c>
      <c r="G469" s="36" t="s">
        <v>3206</v>
      </c>
      <c r="H469" s="14"/>
      <c r="I469" s="14"/>
      <c r="J469" s="14" t="s">
        <v>3207</v>
      </c>
      <c r="K469" s="13" t="s">
        <v>3208</v>
      </c>
      <c r="L469" s="13" t="s">
        <v>2795</v>
      </c>
      <c r="M469" s="37">
        <v>46083.0</v>
      </c>
      <c r="N469" s="38">
        <v>46156.0</v>
      </c>
      <c r="O469" s="14" t="s">
        <v>3209</v>
      </c>
      <c r="P469" s="14" t="s">
        <v>3210</v>
      </c>
      <c r="Q469" s="12" t="s">
        <v>3211</v>
      </c>
    </row>
    <row r="470" ht="66.0" customHeight="1">
      <c r="A470" s="4" t="s">
        <v>3212</v>
      </c>
      <c r="B470" s="4" t="s">
        <v>2800</v>
      </c>
      <c r="C470" s="4"/>
      <c r="D470" s="36" t="s">
        <v>2092</v>
      </c>
      <c r="E470" s="33"/>
      <c r="F470" s="36" t="s">
        <v>3213</v>
      </c>
      <c r="G470" s="36" t="s">
        <v>3214</v>
      </c>
      <c r="H470" s="14"/>
      <c r="I470" s="14" t="s">
        <v>2109</v>
      </c>
      <c r="J470" s="14" t="s">
        <v>3215</v>
      </c>
      <c r="K470" s="13" t="s">
        <v>3216</v>
      </c>
      <c r="L470" s="13" t="s">
        <v>2795</v>
      </c>
      <c r="M470" s="37">
        <v>46001.0</v>
      </c>
      <c r="N470" s="38">
        <v>46123.0</v>
      </c>
      <c r="O470" s="14" t="s">
        <v>3217</v>
      </c>
      <c r="P470" s="14" t="s">
        <v>3218</v>
      </c>
      <c r="Q470" s="12" t="s">
        <v>3219</v>
      </c>
    </row>
    <row r="471" ht="66.0" customHeight="1">
      <c r="A471" s="4" t="s">
        <v>3220</v>
      </c>
      <c r="B471" s="4" t="s">
        <v>2800</v>
      </c>
      <c r="C471" s="4"/>
      <c r="D471" s="36" t="s">
        <v>304</v>
      </c>
      <c r="E471" s="33"/>
      <c r="F471" s="36" t="s">
        <v>3221</v>
      </c>
      <c r="G471" s="36" t="s">
        <v>3222</v>
      </c>
      <c r="H471" s="14"/>
      <c r="I471" s="14" t="s">
        <v>2994</v>
      </c>
      <c r="J471" s="14" t="s">
        <v>3223</v>
      </c>
      <c r="K471" s="13" t="s">
        <v>3224</v>
      </c>
      <c r="L471" s="13" t="s">
        <v>2892</v>
      </c>
      <c r="M471" s="37">
        <v>46023.0</v>
      </c>
      <c r="N471" s="38">
        <v>46310.0</v>
      </c>
      <c r="O471" s="14" t="s">
        <v>3225</v>
      </c>
      <c r="P471" s="14" t="s">
        <v>3226</v>
      </c>
      <c r="Q471" s="12" t="s">
        <v>3227</v>
      </c>
    </row>
    <row r="472" ht="66.0" customHeight="1">
      <c r="A472" s="4" t="s">
        <v>3220</v>
      </c>
      <c r="B472" s="4" t="s">
        <v>2800</v>
      </c>
      <c r="C472" s="4"/>
      <c r="D472" s="36" t="s">
        <v>2789</v>
      </c>
      <c r="E472" s="33"/>
      <c r="F472" s="36" t="s">
        <v>3228</v>
      </c>
      <c r="G472" s="36" t="s">
        <v>3229</v>
      </c>
      <c r="H472" s="14"/>
      <c r="I472" s="14"/>
      <c r="J472" s="14" t="s">
        <v>3230</v>
      </c>
      <c r="K472" s="13" t="s">
        <v>2880</v>
      </c>
      <c r="L472" s="13" t="s">
        <v>2795</v>
      </c>
      <c r="M472" s="37">
        <v>46024.0</v>
      </c>
      <c r="N472" s="38">
        <v>46128.0</v>
      </c>
      <c r="O472" s="14" t="s">
        <v>3231</v>
      </c>
      <c r="P472" s="14" t="s">
        <v>3232</v>
      </c>
      <c r="Q472" s="12" t="s">
        <v>3233</v>
      </c>
    </row>
    <row r="473" ht="66.0" customHeight="1">
      <c r="A473" s="4" t="s">
        <v>2786</v>
      </c>
      <c r="B473" s="4" t="s">
        <v>2787</v>
      </c>
      <c r="C473" s="4" t="s">
        <v>3234</v>
      </c>
      <c r="D473" s="36" t="s">
        <v>2789</v>
      </c>
      <c r="E473" s="33" t="s">
        <v>3235</v>
      </c>
      <c r="F473" s="36" t="s">
        <v>3236</v>
      </c>
      <c r="G473" s="36" t="s">
        <v>3237</v>
      </c>
      <c r="H473" s="14"/>
      <c r="I473" s="14"/>
      <c r="J473" s="14" t="s">
        <v>3238</v>
      </c>
      <c r="K473" s="13"/>
      <c r="L473" s="13" t="s">
        <v>2795</v>
      </c>
      <c r="M473" s="37">
        <v>46057.0</v>
      </c>
      <c r="N473" s="38">
        <v>46154.0</v>
      </c>
      <c r="O473" s="14" t="s">
        <v>3239</v>
      </c>
      <c r="P473" s="14" t="s">
        <v>3240</v>
      </c>
      <c r="Q473" s="12" t="s">
        <v>3241</v>
      </c>
    </row>
    <row r="474" ht="66.0" customHeight="1">
      <c r="A474" s="4" t="s">
        <v>2786</v>
      </c>
      <c r="B474" s="4" t="s">
        <v>2787</v>
      </c>
      <c r="C474" s="4" t="s">
        <v>2981</v>
      </c>
      <c r="D474" s="36" t="s">
        <v>2789</v>
      </c>
      <c r="E474" s="33" t="s">
        <v>3242</v>
      </c>
      <c r="F474" s="36" t="s">
        <v>3243</v>
      </c>
      <c r="G474" s="36" t="s">
        <v>3244</v>
      </c>
      <c r="H474" s="14"/>
      <c r="I474" s="14"/>
      <c r="J474" s="14" t="s">
        <v>3245</v>
      </c>
      <c r="K474" s="13"/>
      <c r="L474" s="13" t="s">
        <v>2795</v>
      </c>
      <c r="M474" s="37">
        <v>46170.0</v>
      </c>
      <c r="N474" s="38">
        <v>46350.0</v>
      </c>
      <c r="O474" s="14" t="s">
        <v>3246</v>
      </c>
      <c r="P474" s="14" t="s">
        <v>3247</v>
      </c>
      <c r="Q474" s="12" t="s">
        <v>3248</v>
      </c>
    </row>
    <row r="475" ht="66.0" customHeight="1"/>
    <row r="476" ht="66.0" customHeight="1"/>
    <row r="477" ht="66.0" customHeight="1"/>
    <row r="478" ht="66.0" customHeight="1"/>
    <row r="479" ht="66.0" customHeight="1"/>
    <row r="480" ht="66.0" customHeight="1"/>
    <row r="481" ht="66.0" customHeight="1"/>
    <row r="482" ht="66.0" customHeight="1"/>
    <row r="483" ht="66.0" customHeight="1"/>
    <row r="484" ht="66.0" customHeight="1"/>
    <row r="485" ht="66.0" customHeight="1"/>
    <row r="486" ht="66.0" customHeight="1"/>
    <row r="487" ht="66.0" customHeight="1"/>
    <row r="488" ht="66.0" customHeight="1"/>
    <row r="489" ht="66.0" customHeight="1"/>
    <row r="490" ht="66.0" customHeight="1"/>
    <row r="491" ht="66.0" customHeight="1"/>
    <row r="492" ht="66.0" customHeight="1"/>
    <row r="493" ht="66.0" customHeight="1"/>
    <row r="494" ht="66.0" customHeight="1"/>
    <row r="495" ht="66.0" customHeight="1"/>
    <row r="496" ht="66.0" customHeight="1"/>
    <row r="497" ht="66.0" customHeight="1"/>
    <row r="498" ht="66.0" customHeight="1"/>
    <row r="499" ht="66.0" customHeight="1"/>
    <row r="500" ht="66.0" customHeight="1"/>
    <row r="501" ht="66.0" customHeight="1"/>
    <row r="502" ht="66.0" customHeight="1"/>
    <row r="503" ht="66.0" customHeight="1"/>
    <row r="504" ht="66.0" customHeight="1"/>
    <row r="505" ht="66.0" customHeight="1"/>
    <row r="506" ht="66.0" customHeight="1"/>
    <row r="507" ht="66.0" customHeight="1"/>
    <row r="508" ht="66.0" customHeight="1"/>
    <row r="509" ht="66.0" customHeight="1"/>
    <row r="510" ht="66.0" customHeight="1"/>
    <row r="511" ht="66.0" customHeight="1"/>
    <row r="512" ht="66.0" customHeight="1"/>
    <row r="513" ht="66.0" customHeight="1"/>
    <row r="514" ht="66.0" customHeight="1"/>
    <row r="515" ht="66.0" customHeight="1"/>
    <row r="516" ht="66.0" customHeight="1"/>
    <row r="517" ht="66.0" customHeight="1"/>
    <row r="518" ht="66.0" customHeight="1"/>
    <row r="519" ht="66.0" customHeight="1"/>
    <row r="520" ht="66.0" customHeight="1"/>
    <row r="521" ht="66.0" customHeight="1"/>
    <row r="522" ht="66.0" customHeight="1"/>
    <row r="523" ht="66.0" customHeight="1"/>
    <row r="524" ht="66.0" customHeight="1"/>
    <row r="525" ht="66.0" customHeight="1"/>
    <row r="526" ht="66.0" customHeight="1"/>
    <row r="527" ht="66.0" customHeight="1"/>
    <row r="528" ht="66.0" customHeight="1"/>
    <row r="529" ht="66.0" customHeight="1"/>
    <row r="530" ht="66.0" customHeight="1"/>
    <row r="531" ht="66.0" customHeight="1"/>
    <row r="532" ht="66.0" customHeight="1"/>
    <row r="533" ht="66.0" customHeight="1"/>
    <row r="534" ht="66.0" customHeight="1"/>
    <row r="535" ht="66.0" customHeight="1"/>
    <row r="536" ht="66.0" customHeight="1"/>
    <row r="537" ht="66.0" customHeight="1"/>
    <row r="538" ht="66.0" customHeight="1"/>
    <row r="539" ht="66.0" customHeight="1"/>
    <row r="540" ht="66.0" customHeight="1"/>
    <row r="541" ht="66.0" customHeight="1"/>
    <row r="542" ht="66.0" customHeight="1"/>
    <row r="543" ht="66.0" customHeight="1"/>
    <row r="544" ht="66.0" customHeight="1"/>
    <row r="545" ht="66.0" customHeight="1"/>
    <row r="546" ht="66.0" customHeight="1"/>
    <row r="547" ht="66.0" customHeight="1"/>
    <row r="548" ht="66.0" customHeight="1"/>
    <row r="549" ht="66.0" customHeight="1"/>
    <row r="550" ht="66.0" customHeight="1"/>
    <row r="551" ht="66.0" customHeight="1"/>
    <row r="552" ht="66.0" customHeight="1"/>
    <row r="553" ht="66.0" customHeight="1"/>
    <row r="554" ht="66.0" customHeight="1"/>
    <row r="555" ht="66.0" customHeight="1"/>
    <row r="556" ht="66.0" customHeight="1"/>
    <row r="557" ht="66.0" customHeight="1"/>
    <row r="558" ht="66.0" customHeight="1"/>
    <row r="559" ht="66.0" customHeight="1"/>
    <row r="560" ht="66.0" customHeight="1"/>
    <row r="561" ht="66.0" customHeight="1"/>
    <row r="562" ht="66.0" customHeight="1"/>
    <row r="563" ht="66.0" customHeight="1"/>
    <row r="564" ht="66.0" customHeight="1"/>
    <row r="565" ht="66.0" customHeight="1"/>
    <row r="566" ht="66.0" customHeight="1"/>
    <row r="567" ht="66.0" customHeight="1"/>
    <row r="568" ht="66.0" customHeight="1"/>
    <row r="569" ht="66.0" customHeight="1"/>
    <row r="570" ht="66.0" customHeight="1"/>
    <row r="571" ht="66.0" customHeight="1"/>
    <row r="572" ht="66.0" customHeight="1"/>
    <row r="573" ht="66.0" customHeight="1"/>
    <row r="574" ht="66.0" customHeight="1"/>
    <row r="575" ht="66.0" customHeight="1"/>
    <row r="576" ht="66.0" customHeight="1"/>
    <row r="577" ht="66.0" customHeight="1"/>
    <row r="578" ht="66.0" customHeight="1"/>
    <row r="579" ht="66.0" customHeight="1"/>
    <row r="580" ht="66.0" customHeight="1"/>
    <row r="581" ht="66.0" customHeight="1"/>
    <row r="582" ht="66.0" customHeight="1"/>
    <row r="583" ht="66.0" customHeight="1"/>
    <row r="584" ht="66.0" customHeight="1"/>
    <row r="585" ht="66.0" customHeight="1"/>
    <row r="586" ht="66.0" customHeight="1"/>
    <row r="587" ht="66.0" customHeight="1"/>
    <row r="588" ht="66.0" customHeight="1"/>
    <row r="589" ht="66.0" customHeight="1"/>
    <row r="590" ht="66.0" customHeight="1"/>
    <row r="591" ht="66.0" customHeight="1"/>
    <row r="592" ht="66.0" customHeight="1"/>
    <row r="593" ht="66.0" customHeight="1"/>
    <row r="594" ht="66.0" customHeight="1"/>
    <row r="595" ht="66.0" customHeight="1"/>
    <row r="596" ht="66.0" customHeight="1"/>
    <row r="597" ht="66.0" customHeight="1"/>
    <row r="598" ht="66.0" customHeight="1"/>
    <row r="599" ht="66.0" customHeight="1"/>
    <row r="600" ht="66.0" customHeight="1"/>
    <row r="601" ht="66.0" customHeight="1"/>
    <row r="602" ht="66.0" customHeight="1"/>
    <row r="603" ht="66.0" customHeight="1"/>
    <row r="604" ht="66.0" customHeight="1"/>
    <row r="605" ht="66.0" customHeight="1"/>
    <row r="606" ht="66.0" customHeight="1"/>
    <row r="607" ht="66.0" customHeight="1"/>
    <row r="608" ht="66.0" customHeight="1"/>
    <row r="609" ht="66.0" customHeight="1"/>
    <row r="610" ht="66.0" customHeight="1"/>
    <row r="611" ht="66.0" customHeight="1"/>
    <row r="612" ht="66.0" customHeight="1"/>
    <row r="613" ht="66.0" customHeight="1"/>
    <row r="614" ht="66.0" customHeight="1"/>
    <row r="615" ht="66.0" customHeight="1"/>
    <row r="616" ht="66.0" customHeight="1"/>
    <row r="617" ht="66.0" customHeight="1"/>
    <row r="618" ht="66.0" customHeight="1"/>
    <row r="619" ht="66.0" customHeight="1"/>
    <row r="620" ht="66.0" customHeight="1"/>
    <row r="621" ht="66.0" customHeight="1"/>
    <row r="622" ht="66.0" customHeight="1"/>
    <row r="623" ht="66.0" customHeight="1"/>
    <row r="624" ht="66.0" customHeight="1"/>
    <row r="625" ht="66.0" customHeight="1"/>
    <row r="626" ht="66.0" customHeight="1"/>
    <row r="627" ht="66.0" customHeight="1"/>
    <row r="628" ht="66.0" customHeight="1"/>
    <row r="629" ht="66.0" customHeight="1"/>
    <row r="630" ht="66.0" customHeight="1"/>
    <row r="631" ht="66.0" customHeight="1"/>
    <row r="632" ht="66.0" customHeight="1"/>
    <row r="633" ht="66.0" customHeight="1"/>
    <row r="634" ht="66.0" customHeight="1"/>
    <row r="635" ht="66.0" customHeight="1"/>
    <row r="636" ht="66.0" customHeight="1"/>
    <row r="637" ht="66.0" customHeight="1"/>
    <row r="638" ht="66.0" customHeight="1"/>
    <row r="639" ht="66.0" customHeight="1"/>
    <row r="640" ht="66.0" customHeight="1"/>
    <row r="641" ht="66.0" customHeight="1"/>
    <row r="642" ht="66.0" customHeight="1"/>
    <row r="643" ht="66.0" customHeight="1"/>
    <row r="644" ht="66.0" customHeight="1"/>
    <row r="645" ht="66.0" customHeight="1"/>
    <row r="646" ht="66.0" customHeight="1"/>
    <row r="647" ht="66.0" customHeight="1"/>
    <row r="648" ht="66.0" customHeight="1"/>
    <row r="649" ht="66.0" customHeight="1"/>
    <row r="650" ht="66.0" customHeight="1"/>
    <row r="651" ht="66.0" customHeight="1"/>
    <row r="652" ht="66.0" customHeight="1"/>
    <row r="653" ht="66.0" customHeight="1"/>
    <row r="654" ht="66.0" customHeight="1"/>
    <row r="655" ht="66.0" customHeight="1"/>
    <row r="656" ht="66.0" customHeight="1"/>
    <row r="657" ht="66.0" customHeight="1"/>
    <row r="658" ht="66.0" customHeight="1"/>
    <row r="659" ht="66.0" customHeight="1"/>
    <row r="660" ht="66.0" customHeight="1"/>
    <row r="661" ht="66.0" customHeight="1"/>
    <row r="662" ht="66.0" customHeight="1"/>
    <row r="663" ht="66.0" customHeight="1"/>
    <row r="664" ht="66.0" customHeight="1"/>
    <row r="665" ht="66.0" customHeight="1"/>
    <row r="666" ht="66.0" customHeight="1"/>
    <row r="667" ht="66.0" customHeight="1"/>
    <row r="668" ht="66.0" customHeight="1"/>
    <row r="669" ht="66.0" customHeight="1"/>
    <row r="670" ht="66.0" customHeight="1"/>
    <row r="671" ht="66.0" customHeight="1"/>
    <row r="672" ht="66.0" customHeight="1"/>
    <row r="673" ht="66.0" customHeight="1"/>
    <row r="674" ht="66.0" customHeight="1"/>
    <row r="675" ht="66.0" customHeight="1"/>
    <row r="676" ht="66.0" customHeight="1"/>
    <row r="677" ht="66.0" customHeight="1"/>
    <row r="678" ht="66.0" customHeight="1"/>
    <row r="679" ht="66.0" customHeight="1"/>
    <row r="680" ht="66.0" customHeight="1"/>
    <row r="681" ht="66.0" customHeight="1"/>
    <row r="682" ht="66.0" customHeight="1"/>
    <row r="683" ht="66.0" customHeight="1"/>
    <row r="684" ht="66.0" customHeight="1"/>
    <row r="685" ht="66.0" customHeight="1"/>
    <row r="686" ht="66.0" customHeight="1"/>
    <row r="687" ht="66.0" customHeight="1"/>
    <row r="688" ht="66.0" customHeight="1"/>
    <row r="689" ht="66.0" customHeight="1"/>
    <row r="690" ht="66.0" customHeight="1"/>
    <row r="691" ht="66.0" customHeight="1"/>
    <row r="692" ht="66.0" customHeight="1"/>
    <row r="693" ht="66.0" customHeight="1"/>
    <row r="694" ht="66.0" customHeight="1"/>
    <row r="695" ht="66.0" customHeight="1"/>
    <row r="696" ht="66.0" customHeight="1"/>
    <row r="697" ht="66.0" customHeight="1"/>
    <row r="698" ht="66.0" customHeight="1"/>
    <row r="699" ht="66.0" customHeight="1"/>
    <row r="700" ht="66.0" customHeight="1"/>
    <row r="701" ht="66.0" customHeight="1"/>
    <row r="702" ht="66.0" customHeight="1"/>
    <row r="703" ht="66.0" customHeight="1"/>
    <row r="704" ht="66.0" customHeight="1"/>
    <row r="705" ht="66.0" customHeight="1"/>
    <row r="706" ht="66.0" customHeight="1"/>
    <row r="707" ht="66.0" customHeight="1"/>
    <row r="708" ht="66.0" customHeight="1"/>
    <row r="709" ht="66.0" customHeight="1"/>
    <row r="710" ht="66.0" customHeight="1"/>
    <row r="711" ht="66.0" customHeight="1"/>
    <row r="712" ht="66.0" customHeight="1"/>
    <row r="713" ht="66.0" customHeight="1"/>
    <row r="714" ht="66.0" customHeight="1"/>
    <row r="715" ht="66.0" customHeight="1"/>
    <row r="716" ht="66.0" customHeight="1"/>
    <row r="717" ht="66.0" customHeight="1"/>
    <row r="718" ht="66.0" customHeight="1"/>
    <row r="719" ht="66.0" customHeight="1"/>
    <row r="720" ht="66.0" customHeight="1"/>
    <row r="721" ht="66.0" customHeight="1"/>
    <row r="722" ht="66.0" customHeight="1"/>
    <row r="723" ht="66.0" customHeight="1"/>
    <row r="724" ht="66.0" customHeight="1"/>
    <row r="725" ht="66.0" customHeight="1"/>
    <row r="726" ht="66.0" customHeight="1"/>
    <row r="727" ht="66.0" customHeight="1"/>
    <row r="728" ht="66.0" customHeight="1"/>
    <row r="729" ht="66.0" customHeight="1"/>
    <row r="730" ht="66.0" customHeight="1"/>
    <row r="731" ht="66.0" customHeight="1"/>
    <row r="732" ht="66.0" customHeight="1"/>
    <row r="733" ht="66.0" customHeight="1"/>
    <row r="734" ht="66.0" customHeight="1"/>
    <row r="735" ht="66.0" customHeight="1"/>
    <row r="736" ht="66.0" customHeight="1"/>
    <row r="737" ht="66.0" customHeight="1"/>
    <row r="738" ht="66.0" customHeight="1"/>
    <row r="739" ht="66.0" customHeight="1"/>
    <row r="740" ht="66.0" customHeight="1"/>
    <row r="741" ht="66.0" customHeight="1"/>
    <row r="742" ht="66.0" customHeight="1"/>
    <row r="743" ht="66.0" customHeight="1"/>
    <row r="744" ht="66.0" customHeight="1"/>
    <row r="745" ht="66.0" customHeight="1"/>
    <row r="746" ht="66.0" customHeight="1"/>
    <row r="747" ht="66.0" customHeight="1"/>
    <row r="748" ht="66.0" customHeight="1"/>
    <row r="749" ht="66.0" customHeight="1"/>
    <row r="750" ht="66.0" customHeight="1"/>
    <row r="751" ht="66.0" customHeight="1"/>
    <row r="752" ht="66.0" customHeight="1"/>
    <row r="753" ht="66.0" customHeight="1"/>
    <row r="754" ht="66.0" customHeight="1"/>
    <row r="755" ht="66.0" customHeight="1"/>
    <row r="756" ht="66.0" customHeight="1"/>
    <row r="757" ht="66.0" customHeight="1"/>
    <row r="758" ht="66.0" customHeight="1"/>
    <row r="759" ht="66.0" customHeight="1"/>
    <row r="760" ht="66.0" customHeight="1"/>
    <row r="761" ht="66.0" customHeight="1"/>
    <row r="762" ht="66.0" customHeight="1"/>
    <row r="763" ht="66.0" customHeight="1"/>
    <row r="764" ht="66.0" customHeight="1"/>
    <row r="765" ht="66.0" customHeight="1"/>
    <row r="766" ht="66.0" customHeight="1"/>
    <row r="767" ht="66.0" customHeight="1"/>
    <row r="768" ht="66.0" customHeight="1"/>
    <row r="769" ht="66.0" customHeight="1"/>
    <row r="770" ht="66.0" customHeight="1"/>
    <row r="771" ht="66.0" customHeight="1"/>
    <row r="772" ht="66.0" customHeight="1"/>
    <row r="773" ht="66.0" customHeight="1"/>
    <row r="774" ht="66.0" customHeight="1"/>
    <row r="775" ht="66.0" customHeight="1"/>
    <row r="776" ht="66.0" customHeight="1"/>
    <row r="777" ht="66.0" customHeight="1"/>
    <row r="778" ht="66.0" customHeight="1"/>
    <row r="779" ht="66.0" customHeight="1"/>
    <row r="780" ht="66.0" customHeight="1"/>
    <row r="781" ht="66.0" customHeight="1"/>
    <row r="782" ht="66.0" customHeight="1"/>
    <row r="783" ht="66.0" customHeight="1"/>
    <row r="784" ht="66.0" customHeight="1"/>
    <row r="785" ht="66.0" customHeight="1"/>
    <row r="786" ht="66.0" customHeight="1"/>
    <row r="787" ht="66.0" customHeight="1"/>
    <row r="788" ht="66.0" customHeight="1"/>
    <row r="789" ht="66.0" customHeight="1"/>
    <row r="790" ht="66.0" customHeight="1"/>
    <row r="791" ht="66.0" customHeight="1"/>
    <row r="792" ht="66.0" customHeight="1"/>
    <row r="793" ht="66.0" customHeight="1"/>
    <row r="794" ht="66.0" customHeight="1"/>
    <row r="795" ht="66.0" customHeight="1"/>
    <row r="796" ht="66.0" customHeight="1"/>
    <row r="797" ht="66.0" customHeight="1"/>
    <row r="798" ht="66.0" customHeight="1"/>
    <row r="799" ht="66.0" customHeight="1"/>
    <row r="800" ht="66.0" customHeight="1"/>
    <row r="801" ht="66.0" customHeight="1"/>
    <row r="802" ht="66.0" customHeight="1"/>
    <row r="803" ht="66.0" customHeight="1"/>
    <row r="804" ht="66.0" customHeight="1"/>
    <row r="805" ht="66.0" customHeight="1"/>
    <row r="806" ht="66.0" customHeight="1"/>
    <row r="807" ht="66.0" customHeight="1"/>
    <row r="808" ht="66.0" customHeight="1"/>
    <row r="809" ht="66.0" customHeight="1"/>
    <row r="810" ht="66.0" customHeight="1"/>
    <row r="811" ht="66.0" customHeight="1"/>
    <row r="812" ht="66.0" customHeight="1"/>
    <row r="813" ht="66.0" customHeight="1"/>
    <row r="814" ht="66.0" customHeight="1"/>
    <row r="815" ht="66.0" customHeight="1"/>
    <row r="816" ht="66.0" customHeight="1"/>
    <row r="817" ht="66.0" customHeight="1"/>
    <row r="818" ht="66.0" customHeight="1"/>
    <row r="819" ht="66.0" customHeight="1"/>
    <row r="820" ht="66.0" customHeight="1"/>
    <row r="821" ht="66.0" customHeight="1"/>
    <row r="822" ht="66.0" customHeight="1"/>
    <row r="823" ht="66.0" customHeight="1"/>
    <row r="824" ht="66.0" customHeight="1"/>
    <row r="825" ht="66.0" customHeight="1"/>
    <row r="826" ht="66.0" customHeight="1"/>
    <row r="827" ht="66.0" customHeight="1"/>
    <row r="828" ht="66.0" customHeight="1"/>
    <row r="829" ht="66.0" customHeight="1"/>
    <row r="830" ht="66.0" customHeight="1"/>
    <row r="831" ht="66.0" customHeight="1"/>
    <row r="832" ht="66.0" customHeight="1"/>
    <row r="833" ht="66.0" customHeight="1"/>
    <row r="834" ht="66.0" customHeight="1"/>
    <row r="835" ht="66.0" customHeight="1"/>
    <row r="836" ht="66.0" customHeight="1"/>
    <row r="837" ht="66.0" customHeight="1"/>
    <row r="838" ht="66.0" customHeight="1"/>
    <row r="839" ht="66.0" customHeight="1"/>
    <row r="840" ht="66.0" customHeight="1"/>
    <row r="841" ht="66.0" customHeight="1"/>
    <row r="842" ht="66.0" customHeight="1"/>
    <row r="843" ht="66.0" customHeight="1"/>
    <row r="844" ht="66.0" customHeight="1"/>
    <row r="845" ht="66.0" customHeight="1"/>
    <row r="846" ht="66.0" customHeight="1"/>
    <row r="847" ht="66.0" customHeight="1"/>
    <row r="848" ht="66.0" customHeight="1"/>
    <row r="849" ht="66.0" customHeight="1"/>
    <row r="850" ht="66.0" customHeight="1"/>
    <row r="851" ht="66.0" customHeight="1"/>
    <row r="852" ht="66.0" customHeight="1"/>
    <row r="853" ht="66.0" customHeight="1"/>
    <row r="854" ht="66.0" customHeight="1"/>
    <row r="855" ht="66.0" customHeight="1"/>
    <row r="856" ht="66.0" customHeight="1"/>
    <row r="857" ht="66.0" customHeight="1"/>
    <row r="858" ht="66.0" customHeight="1"/>
    <row r="859" ht="66.0" customHeight="1"/>
    <row r="860" ht="66.0" customHeight="1"/>
    <row r="861" ht="66.0" customHeight="1"/>
    <row r="862" ht="66.0" customHeight="1"/>
    <row r="863" ht="66.0" customHeight="1"/>
    <row r="864" ht="66.0" customHeight="1"/>
    <row r="865" ht="66.0" customHeight="1"/>
    <row r="866" ht="66.0" customHeight="1"/>
    <row r="867" ht="66.0" customHeight="1"/>
    <row r="868" ht="66.0" customHeight="1"/>
    <row r="869" ht="66.0" customHeight="1"/>
    <row r="870" ht="66.0" customHeight="1"/>
    <row r="871" ht="66.0" customHeight="1"/>
    <row r="872" ht="66.0" customHeight="1"/>
    <row r="873" ht="66.0" customHeight="1"/>
    <row r="874" ht="66.0" customHeight="1"/>
    <row r="875" ht="66.0" customHeight="1"/>
    <row r="876" ht="66.0" customHeight="1"/>
    <row r="877" ht="66.0" customHeight="1"/>
    <row r="878" ht="66.0" customHeight="1"/>
    <row r="879" ht="66.0" customHeight="1"/>
    <row r="880" ht="66.0" customHeight="1"/>
    <row r="881" ht="66.0" customHeight="1"/>
    <row r="882" ht="66.0" customHeight="1"/>
    <row r="883" ht="66.0" customHeight="1"/>
    <row r="884" ht="66.0" customHeight="1"/>
    <row r="885" ht="66.0" customHeight="1"/>
    <row r="886" ht="66.0" customHeight="1"/>
    <row r="887" ht="66.0" customHeight="1"/>
    <row r="888" ht="66.0" customHeight="1"/>
    <row r="889" ht="66.0" customHeight="1"/>
    <row r="890" ht="66.0" customHeight="1"/>
    <row r="891" ht="66.0" customHeight="1"/>
    <row r="892" ht="66.0" customHeight="1"/>
    <row r="893" ht="66.0" customHeight="1"/>
    <row r="894" ht="66.0" customHeight="1"/>
    <row r="895" ht="66.0" customHeight="1"/>
    <row r="896" ht="66.0" customHeight="1"/>
    <row r="897" ht="66.0" customHeight="1"/>
    <row r="898" ht="66.0" customHeight="1"/>
    <row r="899" ht="66.0" customHeight="1"/>
    <row r="900" ht="66.0" customHeight="1"/>
    <row r="901" ht="66.0" customHeight="1"/>
    <row r="902" ht="66.0" customHeight="1"/>
    <row r="903" ht="66.0" customHeight="1"/>
    <row r="904" ht="66.0" customHeight="1"/>
    <row r="905" ht="66.0" customHeight="1"/>
    <row r="906" ht="66.0" customHeight="1"/>
    <row r="907" ht="66.0" customHeight="1"/>
    <row r="908" ht="66.0" customHeight="1"/>
    <row r="909" ht="66.0" customHeight="1"/>
    <row r="910" ht="66.0" customHeight="1"/>
    <row r="911" ht="66.0" customHeight="1"/>
    <row r="912" ht="66.0" customHeight="1"/>
    <row r="913" ht="66.0" customHeight="1"/>
    <row r="914" ht="66.0" customHeight="1"/>
    <row r="915" ht="66.0" customHeight="1"/>
    <row r="916" ht="66.0" customHeight="1"/>
    <row r="917" ht="66.0" customHeight="1"/>
    <row r="918" ht="66.0" customHeight="1"/>
    <row r="919" ht="66.0" customHeight="1"/>
    <row r="920" ht="66.0" customHeight="1"/>
    <row r="921" ht="66.0" customHeight="1"/>
    <row r="922" ht="66.0" customHeight="1"/>
    <row r="923" ht="66.0" customHeight="1"/>
    <row r="924" ht="66.0" customHeight="1"/>
    <row r="925" ht="66.0" customHeight="1"/>
    <row r="926" ht="66.0" customHeight="1"/>
    <row r="927" ht="66.0" customHeight="1"/>
    <row r="928" ht="66.0" customHeight="1"/>
    <row r="929" ht="66.0" customHeight="1"/>
    <row r="930" ht="66.0" customHeight="1"/>
    <row r="931" ht="66.0" customHeight="1"/>
    <row r="932" ht="66.0" customHeight="1"/>
    <row r="933" ht="66.0" customHeight="1"/>
    <row r="934" ht="66.0" customHeight="1"/>
    <row r="935" ht="66.0" customHeight="1"/>
    <row r="936" ht="66.0" customHeight="1"/>
    <row r="937" ht="66.0" customHeight="1"/>
    <row r="938" ht="66.0" customHeight="1"/>
    <row r="939" ht="66.0" customHeight="1"/>
    <row r="940" ht="66.0" customHeight="1"/>
    <row r="941" ht="66.0" customHeight="1"/>
    <row r="942" ht="66.0" customHeight="1"/>
    <row r="943" ht="66.0" customHeight="1"/>
    <row r="944" ht="66.0" customHeight="1"/>
    <row r="945" ht="66.0" customHeight="1"/>
    <row r="946" ht="66.0" customHeight="1"/>
    <row r="947" ht="66.0" customHeight="1"/>
    <row r="948" ht="66.0" customHeight="1"/>
    <row r="949" ht="66.0" customHeight="1"/>
    <row r="950" ht="66.0" customHeight="1"/>
    <row r="951" ht="66.0" customHeight="1"/>
    <row r="952" ht="66.0" customHeight="1"/>
    <row r="953" ht="66.0" customHeight="1"/>
    <row r="954" ht="66.0" customHeight="1"/>
    <row r="955" ht="66.0" customHeight="1"/>
    <row r="956" ht="66.0" customHeight="1"/>
    <row r="957" ht="66.0" customHeight="1"/>
    <row r="958" ht="66.0" customHeight="1"/>
    <row r="959" ht="66.0" customHeight="1"/>
    <row r="960" ht="66.0" customHeight="1"/>
    <row r="961" ht="66.0" customHeight="1"/>
    <row r="962" ht="66.0" customHeight="1"/>
    <row r="963" ht="66.0" customHeight="1"/>
    <row r="964" ht="66.0" customHeight="1"/>
    <row r="965" ht="66.0" customHeight="1"/>
    <row r="966" ht="66.0" customHeight="1"/>
    <row r="967" ht="66.0" customHeight="1"/>
    <row r="968" ht="66.0" customHeight="1"/>
    <row r="969" ht="66.0" customHeight="1"/>
    <row r="970" ht="66.0" customHeight="1"/>
    <row r="971" ht="66.0" customHeight="1"/>
    <row r="972" ht="66.0" customHeight="1"/>
    <row r="973" ht="66.0" customHeight="1"/>
    <row r="974" ht="66.0" customHeight="1"/>
    <row r="975" ht="66.0" customHeight="1"/>
    <row r="976" ht="66.0" customHeight="1"/>
    <row r="977" ht="66.0" customHeight="1"/>
    <row r="978" ht="66.0" customHeight="1"/>
    <row r="979" ht="66.0" customHeight="1"/>
    <row r="980" ht="66.0" customHeight="1"/>
    <row r="981" ht="66.0" customHeight="1"/>
    <row r="982" ht="66.0" customHeight="1"/>
    <row r="983" ht="66.0" customHeight="1"/>
    <row r="984" ht="66.0" customHeight="1"/>
    <row r="985" ht="66.0" customHeight="1"/>
    <row r="986" ht="66.0" customHeight="1"/>
    <row r="987" ht="66.0" customHeight="1"/>
    <row r="988" ht="66.0" customHeight="1"/>
    <row r="989" ht="66.0" customHeight="1"/>
    <row r="990" ht="66.0" customHeight="1"/>
    <row r="991" ht="66.0" customHeight="1"/>
    <row r="992" ht="66.0" customHeight="1"/>
    <row r="993" ht="66.0" customHeight="1"/>
    <row r="994" ht="66.0" customHeight="1"/>
    <row r="995" ht="66.0" customHeight="1"/>
    <row r="996" ht="66.0" customHeight="1"/>
    <row r="997" ht="66.0" customHeight="1"/>
    <row r="998" ht="66.0" customHeight="1"/>
  </sheetData>
  <hyperlinks>
    <hyperlink r:id="rId1" ref="Q2"/>
    <hyperlink r:id="rId2" ref="Q3"/>
    <hyperlink r:id="rId3" ref="Q4"/>
    <hyperlink r:id="rId4" ref="Q5"/>
    <hyperlink r:id="rId5" ref="Q6"/>
    <hyperlink r:id="rId6" ref="Q418"/>
    <hyperlink r:id="rId7" ref="Q419"/>
    <hyperlink r:id="rId8" ref="Q420"/>
    <hyperlink r:id="rId9" ref="Q421"/>
    <hyperlink r:id="rId10" ref="Q422"/>
    <hyperlink r:id="rId11" ref="Q423"/>
    <hyperlink r:id="rId12" ref="Q424"/>
    <hyperlink r:id="rId13" ref="Q425"/>
    <hyperlink r:id="rId14" ref="Q426"/>
    <hyperlink r:id="rId15" ref="Q427"/>
    <hyperlink r:id="rId16" ref="Q428"/>
    <hyperlink r:id="rId17" ref="Q429"/>
    <hyperlink r:id="rId18" ref="Q430"/>
    <hyperlink r:id="rId19" ref="Q431"/>
    <hyperlink r:id="rId20" ref="Q432"/>
    <hyperlink r:id="rId21" ref="Q433"/>
    <hyperlink r:id="rId22" ref="Q434"/>
    <hyperlink r:id="rId23" ref="Q435"/>
    <hyperlink r:id="rId24" ref="Q436"/>
    <hyperlink r:id="rId25" ref="Q437"/>
    <hyperlink r:id="rId26" ref="Q438"/>
    <hyperlink r:id="rId27" ref="Q439"/>
    <hyperlink r:id="rId28" ref="Q440"/>
    <hyperlink r:id="rId29" ref="Q441"/>
    <hyperlink r:id="rId30" ref="Q442"/>
    <hyperlink r:id="rId31" ref="Q443"/>
    <hyperlink r:id="rId32" ref="Q444"/>
    <hyperlink r:id="rId33" ref="Q445"/>
    <hyperlink r:id="rId34" ref="Q446"/>
    <hyperlink r:id="rId35" ref="Q447"/>
    <hyperlink r:id="rId36" ref="Q448"/>
    <hyperlink r:id="rId37" ref="Q449"/>
    <hyperlink r:id="rId38" ref="Q450"/>
    <hyperlink r:id="rId39" ref="Q451"/>
    <hyperlink r:id="rId40" ref="Q452"/>
    <hyperlink r:id="rId41" ref="Q453"/>
    <hyperlink r:id="rId42" ref="Q454"/>
    <hyperlink r:id="rId43" ref="Q455"/>
    <hyperlink r:id="rId44" ref="Q456"/>
    <hyperlink r:id="rId45" ref="Q457"/>
    <hyperlink r:id="rId46" ref="Q458"/>
    <hyperlink r:id="rId47" ref="Q459"/>
    <hyperlink r:id="rId48" ref="Q460"/>
    <hyperlink r:id="rId49" ref="Q461"/>
    <hyperlink r:id="rId50" ref="Q462"/>
    <hyperlink r:id="rId51" ref="Q463"/>
    <hyperlink r:id="rId52" ref="Q464"/>
    <hyperlink r:id="rId53" ref="Q465"/>
    <hyperlink r:id="rId54" ref="Q466"/>
    <hyperlink r:id="rId55" ref="Q467"/>
    <hyperlink r:id="rId56" ref="Q468"/>
    <hyperlink r:id="rId57" ref="Q469"/>
    <hyperlink r:id="rId58" ref="Q470"/>
    <hyperlink r:id="rId59" ref="Q471"/>
    <hyperlink r:id="rId60" ref="Q472"/>
    <hyperlink r:id="rId61" ref="Q473"/>
    <hyperlink r:id="rId62" ref="Q474"/>
  </hyperlinks>
  <printOptions/>
  <pageMargins bottom="0.75" footer="0.0" header="0.0" left="0.7" right="0.7" top="0.75"/>
  <pageSetup paperSize="9" orientation="portrait"/>
  <drawing r:id="rId63"/>
  <tableParts count="2">
    <tablePart r:id="rId66"/>
    <tablePart r:id="rId67"/>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2026-01-20T11:50:40Z</dcterms:created>
  <dc:creator>ESTER RODRIGUEZ AGUILAR</dc:creator>
</cp:coreProperties>
</file>